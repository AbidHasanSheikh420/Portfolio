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sif Shek\Desktop\assingment\"/>
    </mc:Choice>
  </mc:AlternateContent>
  <xr:revisionPtr revIDLastSave="0" documentId="13_ncr:1_{181201BC-39D8-4EDF-8E7D-94851B8FF2EF}" xr6:coauthVersionLast="47" xr6:coauthVersionMax="47" xr10:uidLastSave="{00000000-0000-0000-0000-000000000000}"/>
  <bookViews>
    <workbookView minimized="1" xWindow="4470" yWindow="1785" windowWidth="15375" windowHeight="7785" tabRatio="742" activeTab="3" xr2:uid="{E95655AC-1599-45D3-B540-BBA8CD8F5ACB}"/>
  </bookViews>
  <sheets>
    <sheet name="Module 2" sheetId="1" r:id="rId1"/>
    <sheet name="Assignment 1" sheetId="2" r:id="rId2"/>
    <sheet name="Assignment 2" sheetId="3" r:id="rId3"/>
    <sheet name="Assignment 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5" i="4" l="1"/>
  <c r="M14" i="3"/>
  <c r="L14" i="3"/>
  <c r="K14" i="3"/>
  <c r="J14" i="3"/>
  <c r="H17" i="4"/>
  <c r="I17" i="4" s="1"/>
  <c r="H18" i="4"/>
  <c r="I18" i="4" s="1"/>
  <c r="H16" i="4"/>
  <c r="L16" i="4" s="1"/>
  <c r="F17" i="4"/>
  <c r="F18" i="4"/>
  <c r="F16" i="4"/>
  <c r="K16" i="4"/>
  <c r="J16" i="4"/>
  <c r="I16" i="4"/>
  <c r="J18" i="4" l="1"/>
  <c r="L18" i="4"/>
  <c r="J17" i="4"/>
  <c r="K17" i="4"/>
  <c r="L17" i="4"/>
  <c r="K18" i="4"/>
  <c r="G13" i="2"/>
  <c r="G14" i="2"/>
  <c r="G12" i="2"/>
  <c r="K5" i="4"/>
  <c r="K6" i="4"/>
  <c r="K4" i="4"/>
  <c r="H6" i="4"/>
  <c r="H5" i="4"/>
  <c r="H4" i="4"/>
  <c r="G4" i="2"/>
  <c r="G5" i="2"/>
  <c r="G3" i="2"/>
  <c r="B3" i="3" a="1"/>
  <c r="B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<sst xmlns="http://schemas.openxmlformats.org/spreadsheetml/2006/main" count="95" uniqueCount="57">
  <si>
    <t>Lookup and Conditional Functions | Using VLOOKUP, HLOOKUP Functions | Carefulness of VLOOKUP Function | Using SUMIF, COUNTIF | Using SUMIFS, COUNTIFS, COUNTA, INDEX and MATCH | MINIFS, MAXIFS | Using AVERAGEIFS</t>
  </si>
  <si>
    <t>Question : 1</t>
  </si>
  <si>
    <t>Target</t>
  </si>
  <si>
    <t>Sales</t>
  </si>
  <si>
    <t>Result</t>
  </si>
  <si>
    <t>Input</t>
  </si>
  <si>
    <t>Output</t>
  </si>
  <si>
    <t>Sales &gt;Target</t>
  </si>
  <si>
    <t>Achieved</t>
  </si>
  <si>
    <t>Sales &lt;Target</t>
  </si>
  <si>
    <t>Not Achieved'</t>
  </si>
  <si>
    <t>Task : 1</t>
  </si>
  <si>
    <t>Pls find the result (Achieved) if Sale Is greater than the Target</t>
  </si>
  <si>
    <t>Task : 2</t>
  </si>
  <si>
    <t>Pls find the result ( Not Achieved) if Sale Is less than the Target</t>
  </si>
  <si>
    <t>Question: 2</t>
  </si>
  <si>
    <t>Commission</t>
  </si>
  <si>
    <t>Pls find the result (Commission 10%) if Sale Is greater than the Target</t>
  </si>
  <si>
    <t>Pls find the result (Commission 0%) if Sale Is less than the Target</t>
  </si>
  <si>
    <t>Question: 1</t>
  </si>
  <si>
    <t>Question: 3</t>
  </si>
  <si>
    <t>Question: 4</t>
  </si>
  <si>
    <t>SL</t>
  </si>
  <si>
    <t>Rahim</t>
  </si>
  <si>
    <t>Anis</t>
  </si>
  <si>
    <t>Karim</t>
  </si>
  <si>
    <t>Raju</t>
  </si>
  <si>
    <t>Find the Count from Question 1 by using Formula</t>
  </si>
  <si>
    <t>Find the Count from Question 2 by using Formula</t>
  </si>
  <si>
    <t>Task : 3</t>
  </si>
  <si>
    <t>Find the count blank from Question 3 by using Formula</t>
  </si>
  <si>
    <t>Task : 4</t>
  </si>
  <si>
    <t>Find the how many 10 at  Question 4 by using Formula</t>
  </si>
  <si>
    <t>Company</t>
  </si>
  <si>
    <t>ID No</t>
  </si>
  <si>
    <t>Month</t>
  </si>
  <si>
    <t>Question 1:</t>
  </si>
  <si>
    <t>Question 2:</t>
  </si>
  <si>
    <t>NIKE</t>
  </si>
  <si>
    <t>Name</t>
  </si>
  <si>
    <t>ADDIDAS</t>
  </si>
  <si>
    <t>Tesla</t>
  </si>
  <si>
    <t>Task 1:</t>
  </si>
  <si>
    <r>
      <t>Find the  sum of  sales of  only month of</t>
    </r>
    <r>
      <rPr>
        <b/>
        <sz val="11"/>
        <color theme="1"/>
        <rFont val="Aptos Narrow"/>
        <family val="2"/>
        <scheme val="minor"/>
      </rPr>
      <t xml:space="preserve"> 12</t>
    </r>
    <r>
      <rPr>
        <sz val="11"/>
        <color theme="1"/>
        <rFont val="Aptos Narrow"/>
        <family val="2"/>
        <scheme val="minor"/>
      </rPr>
      <t xml:space="preserve"> by using formula from question 1</t>
    </r>
  </si>
  <si>
    <t>Task 2:</t>
  </si>
  <si>
    <r>
      <t xml:space="preserve">Find the  sum of  sales  of Company </t>
    </r>
    <r>
      <rPr>
        <b/>
        <sz val="11"/>
        <color theme="1"/>
        <rFont val="Aptos Narrow"/>
        <family val="2"/>
        <scheme val="minor"/>
      </rPr>
      <t>"Tesla"</t>
    </r>
    <r>
      <rPr>
        <sz val="11"/>
        <color theme="1"/>
        <rFont val="Aptos Narrow"/>
        <family val="2"/>
        <scheme val="minor"/>
      </rPr>
      <t xml:space="preserve"> by using formula from question 1</t>
    </r>
  </si>
  <si>
    <t>MAXIFS</t>
  </si>
  <si>
    <t xml:space="preserve">AVERAGEIFS </t>
  </si>
  <si>
    <t>MINIFS</t>
  </si>
  <si>
    <t>COUNTIFS</t>
  </si>
  <si>
    <t>COMPANY</t>
  </si>
  <si>
    <t>MONTH</t>
  </si>
  <si>
    <t>ID NO</t>
  </si>
  <si>
    <t>TASK 01</t>
  </si>
  <si>
    <t>TASK 02</t>
  </si>
  <si>
    <t>TASK 03</t>
  </si>
  <si>
    <t>TASK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</si>
</sst>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10182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5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5B081-032E-4221-924C-DDEBA8FAF22B}">
  <sheetPr>
    <tabColor rgb="FF92D050"/>
  </sheetPr>
  <dimension ref="A1"/>
  <sheetViews>
    <sheetView workbookViewId="0">
      <selection activeCell="J15" sqref="J15"/>
    </sheetView>
  </sheetViews>
  <sheetFormatPr defaultRowHeight="15" x14ac:dyDescent="0.25"/>
  <sheetData>
    <row r="1" spans="1:1" x14ac:dyDescent="0.25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4051E-F2DA-4D0A-95F8-B9332B09A243}">
  <sheetPr>
    <tabColor rgb="FFFFFF00"/>
  </sheetPr>
  <dimension ref="B1:G17"/>
  <sheetViews>
    <sheetView workbookViewId="0">
      <selection activeCell="I15" sqref="I15"/>
    </sheetView>
  </sheetViews>
  <sheetFormatPr defaultRowHeight="15" x14ac:dyDescent="0.25"/>
  <cols>
    <col min="2" max="2" width="11.7109375" bestFit="1" customWidth="1"/>
    <col min="7" max="7" width="12.7109375" style="2" customWidth="1"/>
    <col min="8" max="8" width="11.42578125" bestFit="1" customWidth="1"/>
  </cols>
  <sheetData>
    <row r="1" spans="2:7" ht="15.75" thickBot="1" x14ac:dyDescent="0.3">
      <c r="B1" t="s">
        <v>1</v>
      </c>
    </row>
    <row r="2" spans="2:7" x14ac:dyDescent="0.25">
      <c r="B2" s="3"/>
      <c r="C2" s="4"/>
      <c r="D2" s="4"/>
      <c r="E2" s="5" t="s">
        <v>2</v>
      </c>
      <c r="F2" s="5" t="s">
        <v>3</v>
      </c>
      <c r="G2" s="2" t="s">
        <v>4</v>
      </c>
    </row>
    <row r="3" spans="2:7" x14ac:dyDescent="0.25">
      <c r="B3" s="6" t="s">
        <v>5</v>
      </c>
      <c r="C3" t="s">
        <v>6</v>
      </c>
      <c r="E3" s="2">
        <v>120</v>
      </c>
      <c r="F3" s="2">
        <v>121</v>
      </c>
      <c r="G3" s="2" t="str">
        <f>IF(F3&gt;E3,"Achieved",IF(F3&lt;E3,"Not Achieved"))</f>
        <v>Achieved</v>
      </c>
    </row>
    <row r="4" spans="2:7" x14ac:dyDescent="0.25">
      <c r="B4" s="6" t="s">
        <v>7</v>
      </c>
      <c r="C4" t="s">
        <v>8</v>
      </c>
      <c r="E4" s="2">
        <v>120</v>
      </c>
      <c r="F4" s="2">
        <v>119</v>
      </c>
      <c r="G4" s="2" t="str">
        <f t="shared" ref="G4:G5" si="0">IF(F4&gt;E4,"Achieved",IF(F4&lt;E4,"Not Achieved"))</f>
        <v>Not Achieved</v>
      </c>
    </row>
    <row r="5" spans="2:7" ht="15.75" thickBot="1" x14ac:dyDescent="0.3">
      <c r="B5" s="7" t="s">
        <v>9</v>
      </c>
      <c r="C5" s="8" t="s">
        <v>10</v>
      </c>
      <c r="D5" s="8"/>
      <c r="E5" s="9">
        <v>120</v>
      </c>
      <c r="F5" s="9">
        <v>120.1</v>
      </c>
      <c r="G5" s="2" t="str">
        <f t="shared" si="0"/>
        <v>Achieved</v>
      </c>
    </row>
    <row r="7" spans="2:7" x14ac:dyDescent="0.25">
      <c r="B7" t="s">
        <v>11</v>
      </c>
      <c r="C7" t="s">
        <v>12</v>
      </c>
    </row>
    <row r="8" spans="2:7" x14ac:dyDescent="0.25">
      <c r="B8" t="s">
        <v>13</v>
      </c>
      <c r="C8" t="s">
        <v>14</v>
      </c>
    </row>
    <row r="10" spans="2:7" ht="15.75" thickBot="1" x14ac:dyDescent="0.3">
      <c r="B10" t="s">
        <v>15</v>
      </c>
    </row>
    <row r="11" spans="2:7" x14ac:dyDescent="0.25">
      <c r="B11" s="3"/>
      <c r="C11" s="4"/>
      <c r="D11" s="4"/>
      <c r="E11" s="5" t="s">
        <v>2</v>
      </c>
      <c r="F11" s="5" t="s">
        <v>3</v>
      </c>
      <c r="G11" s="2" t="s">
        <v>4</v>
      </c>
    </row>
    <row r="12" spans="2:7" x14ac:dyDescent="0.25">
      <c r="B12" s="6" t="s">
        <v>5</v>
      </c>
      <c r="C12" t="s">
        <v>16</v>
      </c>
      <c r="E12" s="2">
        <v>120</v>
      </c>
      <c r="F12" s="2">
        <v>125</v>
      </c>
      <c r="G12" s="12">
        <f>IF(F12&gt;E12,F12*10%,IF(F12&lt;E12,"0%"))</f>
        <v>12.5</v>
      </c>
    </row>
    <row r="13" spans="2:7" x14ac:dyDescent="0.25">
      <c r="B13" s="6" t="s">
        <v>7</v>
      </c>
      <c r="C13" s="10">
        <v>0.1</v>
      </c>
      <c r="E13" s="2">
        <v>120</v>
      </c>
      <c r="F13" s="2">
        <v>119</v>
      </c>
      <c r="G13" s="12" t="str">
        <f t="shared" ref="G13:G14" si="1">IF(F13&gt;E13,F13*10%,IF(F13&lt;E13,"0%"))</f>
        <v>0%</v>
      </c>
    </row>
    <row r="14" spans="2:7" ht="15.75" thickBot="1" x14ac:dyDescent="0.3">
      <c r="B14" s="7" t="s">
        <v>9</v>
      </c>
      <c r="C14" s="11">
        <v>0</v>
      </c>
      <c r="D14" s="8"/>
      <c r="E14" s="9">
        <v>120</v>
      </c>
      <c r="F14" s="9">
        <v>130</v>
      </c>
      <c r="G14" s="12">
        <f t="shared" si="1"/>
        <v>13</v>
      </c>
    </row>
    <row r="16" spans="2:7" x14ac:dyDescent="0.25">
      <c r="B16" t="s">
        <v>11</v>
      </c>
      <c r="C16" t="s">
        <v>17</v>
      </c>
    </row>
    <row r="17" spans="2:3" x14ac:dyDescent="0.25">
      <c r="B17" t="s">
        <v>13</v>
      </c>
      <c r="C17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98F18-3CB7-446A-BA64-E86388C6B521}">
  <sheetPr>
    <tabColor rgb="FF00B050"/>
  </sheetPr>
  <dimension ref="A1:M20"/>
  <sheetViews>
    <sheetView workbookViewId="0">
      <selection activeCell="D22" sqref="D22"/>
    </sheetView>
  </sheetViews>
  <sheetFormatPr defaultRowHeight="15" x14ac:dyDescent="0.25"/>
  <cols>
    <col min="2" max="2" width="10.140625" bestFit="1" customWidth="1"/>
    <col min="4" max="4" width="8.7109375" style="2"/>
  </cols>
  <sheetData>
    <row r="1" spans="1:13" x14ac:dyDescent="0.25">
      <c r="B1" t="s">
        <v>19</v>
      </c>
      <c r="D1" s="2" t="s">
        <v>15</v>
      </c>
      <c r="F1" s="2" t="s">
        <v>20</v>
      </c>
      <c r="H1" s="2" t="s">
        <v>21</v>
      </c>
    </row>
    <row r="2" spans="1:13" x14ac:dyDescent="0.25">
      <c r="B2" s="2" t="s">
        <v>22</v>
      </c>
      <c r="D2" s="2">
        <v>1</v>
      </c>
      <c r="F2" s="2">
        <v>1</v>
      </c>
      <c r="H2" s="2">
        <v>1</v>
      </c>
    </row>
    <row r="3" spans="1:13" x14ac:dyDescent="0.25">
      <c r="B3" s="2" cm="1">
        <f t="array" ref="B3:B12">_xlfn.SEQUENCE(10)</f>
        <v>1</v>
      </c>
      <c r="D3" s="2">
        <v>2</v>
      </c>
      <c r="F3" s="2">
        <v>2</v>
      </c>
      <c r="H3" s="2">
        <v>10</v>
      </c>
    </row>
    <row r="4" spans="1:13" x14ac:dyDescent="0.25">
      <c r="B4" s="2">
        <v>2</v>
      </c>
      <c r="D4" s="2" t="s">
        <v>23</v>
      </c>
      <c r="F4" s="2"/>
      <c r="H4" s="2">
        <v>3</v>
      </c>
    </row>
    <row r="5" spans="1:13" x14ac:dyDescent="0.25">
      <c r="B5" s="2">
        <v>3</v>
      </c>
      <c r="D5" s="2" t="s">
        <v>24</v>
      </c>
      <c r="F5" s="2" t="s">
        <v>24</v>
      </c>
      <c r="H5" s="2">
        <v>4</v>
      </c>
    </row>
    <row r="6" spans="1:13" x14ac:dyDescent="0.25">
      <c r="B6" s="2">
        <v>4</v>
      </c>
      <c r="D6" s="2" t="s">
        <v>25</v>
      </c>
      <c r="F6" s="2" t="s">
        <v>25</v>
      </c>
      <c r="H6" s="2">
        <v>5</v>
      </c>
    </row>
    <row r="7" spans="1:13" x14ac:dyDescent="0.25">
      <c r="B7" s="2">
        <v>5</v>
      </c>
      <c r="D7" s="2">
        <v>6</v>
      </c>
      <c r="F7" s="2">
        <v>6</v>
      </c>
      <c r="H7" s="2">
        <v>10</v>
      </c>
    </row>
    <row r="8" spans="1:13" x14ac:dyDescent="0.25">
      <c r="B8" s="2">
        <v>6</v>
      </c>
      <c r="D8" s="2">
        <v>7</v>
      </c>
      <c r="F8" s="2"/>
      <c r="H8" s="2">
        <v>7</v>
      </c>
    </row>
    <row r="9" spans="1:13" x14ac:dyDescent="0.25">
      <c r="B9" s="2">
        <v>7</v>
      </c>
      <c r="D9" s="2">
        <v>8</v>
      </c>
      <c r="F9" s="2">
        <v>8</v>
      </c>
      <c r="H9" s="2">
        <v>8</v>
      </c>
    </row>
    <row r="10" spans="1:13" x14ac:dyDescent="0.25">
      <c r="B10" s="2">
        <v>8</v>
      </c>
      <c r="D10" s="2">
        <v>9</v>
      </c>
      <c r="F10" s="2"/>
      <c r="H10" s="2">
        <v>9</v>
      </c>
    </row>
    <row r="11" spans="1:13" x14ac:dyDescent="0.25">
      <c r="B11" s="2">
        <v>9</v>
      </c>
      <c r="D11" s="2">
        <v>10</v>
      </c>
      <c r="F11" s="2">
        <v>10</v>
      </c>
      <c r="H11" s="2">
        <v>10</v>
      </c>
    </row>
    <row r="12" spans="1:13" x14ac:dyDescent="0.25">
      <c r="B12" s="2">
        <v>10</v>
      </c>
      <c r="D12" s="2" t="s">
        <v>26</v>
      </c>
      <c r="F12" s="2" t="s">
        <v>26</v>
      </c>
      <c r="H12" s="2">
        <v>11</v>
      </c>
    </row>
    <row r="13" spans="1:13" x14ac:dyDescent="0.25">
      <c r="A13" t="s">
        <v>11</v>
      </c>
      <c r="B13" t="s">
        <v>27</v>
      </c>
      <c r="J13" s="13" t="s">
        <v>53</v>
      </c>
      <c r="K13" s="13" t="s">
        <v>54</v>
      </c>
      <c r="L13" s="13" t="s">
        <v>55</v>
      </c>
      <c r="M13" s="13" t="s">
        <v>56</v>
      </c>
    </row>
    <row r="14" spans="1:13" x14ac:dyDescent="0.25">
      <c r="A14" s="2"/>
      <c r="J14" s="2">
        <f>COUNTA(B2:B12)</f>
        <v>11</v>
      </c>
      <c r="K14" s="2">
        <f>COUNTA(D2:D12)</f>
        <v>11</v>
      </c>
      <c r="L14" s="2">
        <f>COUNTBLANK(F2:F12)</f>
        <v>3</v>
      </c>
      <c r="M14" s="2">
        <f>COUNTIF(H2:H12,H3)</f>
        <v>3</v>
      </c>
    </row>
    <row r="15" spans="1:13" x14ac:dyDescent="0.25">
      <c r="A15" t="s">
        <v>13</v>
      </c>
      <c r="B15" t="s">
        <v>28</v>
      </c>
    </row>
    <row r="16" spans="1:13" x14ac:dyDescent="0.25">
      <c r="A16" s="2"/>
    </row>
    <row r="17" spans="1:2" x14ac:dyDescent="0.25">
      <c r="A17" t="s">
        <v>29</v>
      </c>
      <c r="B17" t="s">
        <v>30</v>
      </c>
    </row>
    <row r="18" spans="1:2" x14ac:dyDescent="0.25">
      <c r="A18" s="2"/>
    </row>
    <row r="19" spans="1:2" x14ac:dyDescent="0.25">
      <c r="A19" t="s">
        <v>31</v>
      </c>
      <c r="B19" t="s">
        <v>32</v>
      </c>
    </row>
    <row r="20" spans="1:2" x14ac:dyDescent="0.25">
      <c r="A2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02965-7CE3-426D-A13E-4E7CF7484822}">
  <sheetPr>
    <tabColor rgb="FF0070C0"/>
  </sheetPr>
  <dimension ref="B2:O19"/>
  <sheetViews>
    <sheetView tabSelected="1" workbookViewId="0">
      <selection activeCell="M14" sqref="M14"/>
    </sheetView>
  </sheetViews>
  <sheetFormatPr defaultRowHeight="15" x14ac:dyDescent="0.25"/>
  <cols>
    <col min="7" max="7" width="10.28515625" customWidth="1"/>
    <col min="8" max="8" width="9.7109375" customWidth="1"/>
    <col min="9" max="9" width="10.140625" customWidth="1"/>
    <col min="10" max="10" width="13" customWidth="1"/>
    <col min="12" max="12" width="10.7109375" customWidth="1"/>
    <col min="13" max="13" width="12.42578125" customWidth="1"/>
    <col min="15" max="15" width="10.7109375" customWidth="1"/>
  </cols>
  <sheetData>
    <row r="2" spans="2:15" x14ac:dyDescent="0.25">
      <c r="B2" s="2" t="s">
        <v>33</v>
      </c>
      <c r="C2" s="2" t="s">
        <v>34</v>
      </c>
      <c r="D2" s="2" t="s">
        <v>35</v>
      </c>
      <c r="E2" s="2" t="s">
        <v>3</v>
      </c>
      <c r="G2" s="2" t="s">
        <v>36</v>
      </c>
      <c r="J2" t="s">
        <v>37</v>
      </c>
    </row>
    <row r="3" spans="2:15" x14ac:dyDescent="0.25">
      <c r="B3" s="2" t="s">
        <v>38</v>
      </c>
      <c r="C3" s="2">
        <v>1</v>
      </c>
      <c r="D3" s="2">
        <v>12</v>
      </c>
      <c r="E3" s="2">
        <v>210</v>
      </c>
      <c r="G3" s="2" t="s">
        <v>35</v>
      </c>
      <c r="H3" s="2" t="s">
        <v>3</v>
      </c>
      <c r="J3" s="2" t="s">
        <v>39</v>
      </c>
      <c r="K3" s="2" t="s">
        <v>3</v>
      </c>
    </row>
    <row r="4" spans="2:15" x14ac:dyDescent="0.25">
      <c r="B4" s="2" t="s">
        <v>40</v>
      </c>
      <c r="C4" s="2">
        <v>2</v>
      </c>
      <c r="D4" s="2">
        <v>7</v>
      </c>
      <c r="E4" s="2">
        <v>100</v>
      </c>
      <c r="G4" s="2">
        <v>12</v>
      </c>
      <c r="H4" s="2">
        <f>SUMIFS($E$3:$E$19,$D$3:$D$19,G4)</f>
        <v>730</v>
      </c>
      <c r="J4" s="2" t="s">
        <v>41</v>
      </c>
      <c r="K4">
        <f>SUMIF($B$3:$B$19,J4,$E$3:$E$19)</f>
        <v>470</v>
      </c>
    </row>
    <row r="5" spans="2:15" x14ac:dyDescent="0.25">
      <c r="B5" s="2" t="s">
        <v>41</v>
      </c>
      <c r="C5" s="2">
        <v>3</v>
      </c>
      <c r="D5" s="2">
        <v>10</v>
      </c>
      <c r="E5" s="2">
        <v>80</v>
      </c>
      <c r="G5" s="2">
        <v>7</v>
      </c>
      <c r="H5" s="2">
        <f>SUMIFS($E$3:$E$19,$D$3:$D$19,G5)</f>
        <v>930</v>
      </c>
      <c r="J5" s="2" t="s">
        <v>38</v>
      </c>
      <c r="K5">
        <f t="shared" ref="K5:K6" si="0">SUMIF($B$3:$B$19,J5,$E$3:$E$19)</f>
        <v>730</v>
      </c>
    </row>
    <row r="6" spans="2:15" x14ac:dyDescent="0.25">
      <c r="B6" s="2" t="s">
        <v>40</v>
      </c>
      <c r="C6" s="2">
        <v>2</v>
      </c>
      <c r="D6" s="2">
        <v>7</v>
      </c>
      <c r="E6" s="2">
        <v>100</v>
      </c>
      <c r="G6" s="2">
        <v>10</v>
      </c>
      <c r="H6" s="2">
        <f>SUMIFS($E$3:$E$19,$D$3:$D$19,G6)</f>
        <v>470</v>
      </c>
      <c r="J6" s="2" t="s">
        <v>40</v>
      </c>
      <c r="K6">
        <f t="shared" si="0"/>
        <v>930</v>
      </c>
    </row>
    <row r="7" spans="2:15" x14ac:dyDescent="0.25">
      <c r="B7" s="2" t="s">
        <v>40</v>
      </c>
      <c r="C7" s="2">
        <v>2</v>
      </c>
      <c r="D7" s="2">
        <v>7</v>
      </c>
      <c r="E7" s="2">
        <v>100</v>
      </c>
      <c r="G7" s="2"/>
      <c r="H7" s="2"/>
    </row>
    <row r="8" spans="2:15" x14ac:dyDescent="0.25">
      <c r="B8" s="2" t="s">
        <v>40</v>
      </c>
      <c r="C8" s="2">
        <v>2</v>
      </c>
      <c r="D8" s="2">
        <v>7</v>
      </c>
      <c r="E8" s="2">
        <v>100</v>
      </c>
    </row>
    <row r="9" spans="2:15" x14ac:dyDescent="0.25">
      <c r="B9" s="2" t="s">
        <v>40</v>
      </c>
      <c r="C9" s="2">
        <v>2</v>
      </c>
      <c r="D9" s="2">
        <v>7</v>
      </c>
      <c r="E9" s="2">
        <v>100</v>
      </c>
    </row>
    <row r="10" spans="2:15" x14ac:dyDescent="0.25">
      <c r="B10" s="2" t="s">
        <v>40</v>
      </c>
      <c r="C10" s="2">
        <v>2</v>
      </c>
      <c r="D10" s="2">
        <v>7</v>
      </c>
      <c r="E10" s="2">
        <v>230</v>
      </c>
      <c r="G10" t="s">
        <v>42</v>
      </c>
      <c r="H10" t="s">
        <v>43</v>
      </c>
    </row>
    <row r="11" spans="2:15" x14ac:dyDescent="0.25">
      <c r="B11" s="2" t="s">
        <v>40</v>
      </c>
      <c r="C11" s="2">
        <v>2</v>
      </c>
      <c r="D11" s="2">
        <v>7</v>
      </c>
      <c r="E11" s="2">
        <v>100</v>
      </c>
    </row>
    <row r="12" spans="2:15" x14ac:dyDescent="0.25">
      <c r="B12" s="2" t="s">
        <v>40</v>
      </c>
      <c r="C12" s="2">
        <v>2</v>
      </c>
      <c r="D12" s="2">
        <v>7</v>
      </c>
      <c r="E12" s="2">
        <v>100</v>
      </c>
      <c r="G12" t="s">
        <v>44</v>
      </c>
      <c r="H12" t="s">
        <v>45</v>
      </c>
    </row>
    <row r="13" spans="2:15" x14ac:dyDescent="0.25">
      <c r="B13" s="2" t="s">
        <v>38</v>
      </c>
      <c r="C13" s="2">
        <v>1</v>
      </c>
      <c r="D13" s="2">
        <v>12</v>
      </c>
      <c r="E13" s="2">
        <v>120</v>
      </c>
    </row>
    <row r="14" spans="2:15" x14ac:dyDescent="0.25">
      <c r="B14" s="2" t="s">
        <v>38</v>
      </c>
      <c r="C14" s="2">
        <v>1</v>
      </c>
      <c r="D14" s="2">
        <v>12</v>
      </c>
      <c r="E14" s="2">
        <v>160</v>
      </c>
    </row>
    <row r="15" spans="2:15" x14ac:dyDescent="0.25">
      <c r="B15" s="2" t="s">
        <v>38</v>
      </c>
      <c r="C15" s="2">
        <v>1</v>
      </c>
      <c r="D15" s="2">
        <v>12</v>
      </c>
      <c r="E15" s="2">
        <v>120</v>
      </c>
      <c r="F15" s="14" t="s">
        <v>52</v>
      </c>
      <c r="G15" s="14" t="s">
        <v>50</v>
      </c>
      <c r="H15" s="14" t="s">
        <v>51</v>
      </c>
      <c r="I15" s="14" t="s">
        <v>46</v>
      </c>
      <c r="J15" s="14" t="s">
        <v>47</v>
      </c>
      <c r="K15" s="14" t="s">
        <v>48</v>
      </c>
      <c r="L15" s="14" t="s">
        <v>49</v>
      </c>
      <c r="O15" t="str">
        <f>INDEX(B4:B19,10)</f>
        <v>NIKE</v>
      </c>
    </row>
    <row r="16" spans="2:15" x14ac:dyDescent="0.25">
      <c r="B16" s="2" t="s">
        <v>38</v>
      </c>
      <c r="C16" s="2">
        <v>1</v>
      </c>
      <c r="D16" s="2">
        <v>12</v>
      </c>
      <c r="E16" s="2">
        <v>120</v>
      </c>
      <c r="F16" s="2">
        <f>INDEX($C$3:$C$19,MATCH(G16,$B$3:$B$19,0))</f>
        <v>1</v>
      </c>
      <c r="G16" s="2" t="s">
        <v>38</v>
      </c>
      <c r="H16" s="2">
        <f>INDEX($D$3:$D$19,MATCH(G16,$B$3:$B$19,0))</f>
        <v>12</v>
      </c>
      <c r="I16" s="2">
        <f>_xlfn.MAXIFS($E$3:$E$19,$B$3:$B$19,G16,$D$3:$D$19,H16)</f>
        <v>210</v>
      </c>
      <c r="J16" s="2">
        <f>AVERAGEIFS($E$3:$E$19,$B$3:$B$19,G16,$D$3:$D$19,H16)</f>
        <v>146</v>
      </c>
      <c r="K16" s="2">
        <f>_xlfn.MINIFS($E$3:$E$19,$B$3:$B$19,G16,$D$3:$D$19,H16)</f>
        <v>120</v>
      </c>
      <c r="L16" s="2">
        <f>COUNTIFS($B$3:$B$19,G16,$D$3:$D$19,H16)</f>
        <v>5</v>
      </c>
    </row>
    <row r="17" spans="2:12" x14ac:dyDescent="0.25">
      <c r="B17" s="2" t="s">
        <v>41</v>
      </c>
      <c r="C17" s="2">
        <v>3</v>
      </c>
      <c r="D17" s="2">
        <v>10</v>
      </c>
      <c r="E17" s="2">
        <v>210</v>
      </c>
      <c r="F17" s="2">
        <f t="shared" ref="F17:F18" si="1">INDEX($C$3:$C$19,MATCH(G17,$B$3:$B$19,0))</f>
        <v>2</v>
      </c>
      <c r="G17" s="2" t="s">
        <v>40</v>
      </c>
      <c r="H17" s="2">
        <f t="shared" ref="H17:H18" si="2">INDEX($D$3:$D$19,MATCH(G17,$B$3:$B$19,0))</f>
        <v>7</v>
      </c>
      <c r="I17" s="2">
        <f t="shared" ref="I17:I18" si="3">_xlfn.MAXIFS($E$3:$E$19,$B$3:$B$19,G17,$D$3:$D$19,H17)</f>
        <v>230</v>
      </c>
      <c r="J17" s="2">
        <f t="shared" ref="J17:J18" si="4">AVERAGEIFS($E$3:$E$19,$B$3:$B$19,G17,$D$3:$D$19,H17)</f>
        <v>116.25</v>
      </c>
      <c r="K17" s="2">
        <f t="shared" ref="K17:K18" si="5">_xlfn.MINIFS($E$3:$E$19,$B$3:$B$19,G17,$D$3:$D$19,H17)</f>
        <v>100</v>
      </c>
      <c r="L17" s="2">
        <f t="shared" ref="L17:L18" si="6">COUNTIFS($B$3:$B$19,G17,$D$3:$D$19,H17)</f>
        <v>8</v>
      </c>
    </row>
    <row r="18" spans="2:12" x14ac:dyDescent="0.25">
      <c r="B18" s="2" t="s">
        <v>41</v>
      </c>
      <c r="C18" s="2">
        <v>3</v>
      </c>
      <c r="D18" s="2">
        <v>10</v>
      </c>
      <c r="E18" s="2">
        <v>80</v>
      </c>
      <c r="F18" s="2">
        <f t="shared" si="1"/>
        <v>3</v>
      </c>
      <c r="G18" s="2" t="s">
        <v>41</v>
      </c>
      <c r="H18" s="2">
        <f t="shared" si="2"/>
        <v>10</v>
      </c>
      <c r="I18" s="2">
        <f t="shared" si="3"/>
        <v>210</v>
      </c>
      <c r="J18" s="2">
        <f t="shared" si="4"/>
        <v>117.5</v>
      </c>
      <c r="K18" s="2">
        <f t="shared" si="5"/>
        <v>80</v>
      </c>
      <c r="L18" s="2">
        <f t="shared" si="6"/>
        <v>4</v>
      </c>
    </row>
    <row r="19" spans="2:12" x14ac:dyDescent="0.25">
      <c r="B19" s="2" t="s">
        <v>41</v>
      </c>
      <c r="C19" s="2">
        <v>3</v>
      </c>
      <c r="D19" s="2">
        <v>10</v>
      </c>
      <c r="E19" s="2">
        <v>100</v>
      </c>
    </row>
  </sheetData>
  <dataValidations count="1">
    <dataValidation type="list" allowBlank="1" showInputMessage="1" showErrorMessage="1" sqref="G7" xr:uid="{9CBE3CEC-E9F0-4C9D-9B0E-CDEFEEC0A5EC}">
      <formula1>$C$3:$C$19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Module 2</vt:lpstr>
      <vt:lpstr>Assignment 1</vt:lpstr>
      <vt:lpstr>Assignment 2</vt:lpstr>
      <vt:lpstr>Assignment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Hedayet Ali</dc:creator>
  <cp:lastModifiedBy>Abid Hasan</cp:lastModifiedBy>
  <dcterms:created xsi:type="dcterms:W3CDTF">2025-09-14T09:20:10Z</dcterms:created>
  <dcterms:modified xsi:type="dcterms:W3CDTF">2025-10-23T02:30:04Z</dcterms:modified>
</cp:coreProperties>
</file>