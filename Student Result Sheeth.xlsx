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if Shek\Desktop\Official works\"/>
    </mc:Choice>
  </mc:AlternateContent>
  <xr:revisionPtr revIDLastSave="0" documentId="13_ncr:1_{42B8C869-B2BD-4526-9F3B-C1BB74F1B50F}" xr6:coauthVersionLast="47" xr6:coauthVersionMax="47" xr10:uidLastSave="{00000000-0000-0000-0000-000000000000}"/>
  <bookViews>
    <workbookView minimized="1" xWindow="4620" yWindow="3705" windowWidth="15375" windowHeight="77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Sheet2!$C$19:$F$33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  <c r="G19" i="1"/>
  <c r="G20" i="1"/>
  <c r="G18" i="1"/>
  <c r="F20" i="1"/>
  <c r="F18" i="1"/>
  <c r="E20" i="1"/>
  <c r="E19" i="1"/>
  <c r="E18" i="1"/>
  <c r="E40" i="2"/>
  <c r="E38" i="2"/>
  <c r="E39" i="2"/>
  <c r="J22" i="2"/>
  <c r="I21" i="2"/>
  <c r="I22" i="2"/>
  <c r="I20" i="2"/>
  <c r="J20" i="2" l="1"/>
  <c r="C20" i="2"/>
  <c r="H10" i="2"/>
  <c r="H6" i="2"/>
  <c r="H7" i="2"/>
  <c r="H8" i="2"/>
  <c r="H9" i="2"/>
  <c r="H5" i="2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I12" i="1"/>
  <c r="M12" i="1" s="1"/>
  <c r="I13" i="1"/>
  <c r="M13" i="1" s="1"/>
  <c r="I14" i="1"/>
  <c r="M14" i="1" s="1"/>
  <c r="I5" i="1"/>
  <c r="M5" i="1" s="1"/>
  <c r="P5" i="1" l="1"/>
  <c r="O5" i="1"/>
  <c r="N5" i="1"/>
  <c r="K5" i="1"/>
  <c r="L5" i="1"/>
  <c r="J5" i="1"/>
</calcChain>
</file>

<file path=xl/sharedStrings.xml><?xml version="1.0" encoding="utf-8"?>
<sst xmlns="http://schemas.openxmlformats.org/spreadsheetml/2006/main" count="71" uniqueCount="52">
  <si>
    <t xml:space="preserve">Name </t>
  </si>
  <si>
    <t>Abid Hasan Sheikh</t>
  </si>
  <si>
    <t>Abrar Saim</t>
  </si>
  <si>
    <t xml:space="preserve">Salman Mia </t>
  </si>
  <si>
    <t>Hassan Sheikh</t>
  </si>
  <si>
    <t>Hossain Sheikh</t>
  </si>
  <si>
    <t xml:space="preserve">Sadiya Islam </t>
  </si>
  <si>
    <t xml:space="preserve">Tonu Islam </t>
  </si>
  <si>
    <t>Sazzad Sheikh</t>
  </si>
  <si>
    <t xml:space="preserve">Sazzad Hossaain </t>
  </si>
  <si>
    <t>Tahsin Sheikh</t>
  </si>
  <si>
    <t>Subject1</t>
  </si>
  <si>
    <t>Subject2</t>
  </si>
  <si>
    <t>Subject3</t>
  </si>
  <si>
    <t>Subject4</t>
  </si>
  <si>
    <t>Subject5</t>
  </si>
  <si>
    <t>Subject6</t>
  </si>
  <si>
    <t xml:space="preserve">Total </t>
  </si>
  <si>
    <t>Avg</t>
  </si>
  <si>
    <t>Min</t>
  </si>
  <si>
    <t>Max</t>
  </si>
  <si>
    <t>Great</t>
  </si>
  <si>
    <t>First</t>
  </si>
  <si>
    <t>Second</t>
  </si>
  <si>
    <t>Third</t>
  </si>
  <si>
    <t xml:space="preserve">Student Result  Sheet By using Formula </t>
  </si>
  <si>
    <t xml:space="preserve">Details </t>
  </si>
  <si>
    <t>Qt</t>
  </si>
  <si>
    <t>Price</t>
  </si>
  <si>
    <t xml:space="preserve">Blue color </t>
  </si>
  <si>
    <t xml:space="preserve">Orange Color </t>
  </si>
  <si>
    <t xml:space="preserve">Read Color </t>
  </si>
  <si>
    <t xml:space="preserve">Gray Color </t>
  </si>
  <si>
    <t xml:space="preserve">Green Color </t>
  </si>
  <si>
    <t xml:space="preserve">Date </t>
  </si>
  <si>
    <t xml:space="preserve"> Details </t>
  </si>
  <si>
    <t xml:space="preserve"> Amount </t>
  </si>
  <si>
    <t xml:space="preserve">Daily Nasta </t>
  </si>
  <si>
    <t xml:space="preserve">Salary </t>
  </si>
  <si>
    <t xml:space="preserve">Office Rent </t>
  </si>
  <si>
    <t>Category</t>
  </si>
  <si>
    <t>Daily Nasta</t>
  </si>
  <si>
    <t>Salary</t>
  </si>
  <si>
    <t xml:space="preserve">Total Amount </t>
  </si>
  <si>
    <t>Total qt</t>
  </si>
  <si>
    <t>Title Expensive</t>
  </si>
  <si>
    <t>FIRST</t>
  </si>
  <si>
    <t xml:space="preserve">SECOND </t>
  </si>
  <si>
    <t xml:space="preserve">THIRD </t>
  </si>
  <si>
    <t xml:space="preserve">TOTAL MARKS </t>
  </si>
  <si>
    <t>Name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</si>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</sst>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66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4:P14" totalsRowShown="0" headerRowDxfId="19" dataDxfId="17" headerRowBorderDxfId="18" tableBorderDxfId="16" totalsRowBorderDxfId="15">
  <autoFilter ref="B4:P14" xr:uid="{00000000-0009-0000-0100-000002000000}"/>
  <tableColumns count="15">
    <tableColumn id="1" xr3:uid="{00000000-0010-0000-0000-000001000000}" name="Name " dataDxfId="14"/>
    <tableColumn id="2" xr3:uid="{00000000-0010-0000-0000-000002000000}" name="Subject1" dataDxfId="13"/>
    <tableColumn id="3" xr3:uid="{00000000-0010-0000-0000-000003000000}" name="Subject2" dataDxfId="12"/>
    <tableColumn id="4" xr3:uid="{00000000-0010-0000-0000-000004000000}" name="Subject3" dataDxfId="11"/>
    <tableColumn id="5" xr3:uid="{00000000-0010-0000-0000-000005000000}" name="Subject4" dataDxfId="10"/>
    <tableColumn id="6" xr3:uid="{00000000-0010-0000-0000-000006000000}" name="Subject5" dataDxfId="9"/>
    <tableColumn id="7" xr3:uid="{00000000-0010-0000-0000-000007000000}" name="Subject6" dataDxfId="8"/>
    <tableColumn id="8" xr3:uid="{00000000-0010-0000-0000-000008000000}" name="Total " dataDxfId="7">
      <calculatedColumnFormula>SUM(Table2[[#This Row],[Subject1]:[Subject6]])</calculatedColumnFormula>
    </tableColumn>
    <tableColumn id="9" xr3:uid="{00000000-0010-0000-0000-000009000000}" name="Avg" dataDxfId="6"/>
    <tableColumn id="10" xr3:uid="{00000000-0010-0000-0000-00000A000000}" name="Min" dataDxfId="5"/>
    <tableColumn id="11" xr3:uid="{00000000-0010-0000-0000-00000B000000}" name="Max" dataDxfId="4"/>
    <tableColumn id="12" xr3:uid="{00000000-0010-0000-0000-00000C000000}" name="Great" dataDxfId="3">
      <calculatedColumnFormula>IF(I5&gt;=450, "A+", IF(I5&gt;=400, "A", IF(I5&gt;=350, "A-", "F")))</calculatedColumnFormula>
    </tableColumn>
    <tableColumn id="14" xr3:uid="{00000000-0010-0000-0000-00000E000000}" name="First" dataDxfId="2"/>
    <tableColumn id="13" xr3:uid="{00000000-0010-0000-0000-00000D000000}" name="Second" dataDxfId="1"/>
    <tableColumn id="16" xr3:uid="{00000000-0010-0000-0000-000010000000}" name="Third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0"/>
  <sheetViews>
    <sheetView tabSelected="1" topLeftCell="A6" workbookViewId="0">
      <selection activeCell="F19" sqref="F19"/>
    </sheetView>
  </sheetViews>
  <sheetFormatPr defaultRowHeight="15" x14ac:dyDescent="0.25"/>
  <cols>
    <col min="1" max="1" width="2" customWidth="1"/>
    <col min="2" max="2" width="19.85546875" customWidth="1"/>
    <col min="3" max="3" width="14.7109375" customWidth="1"/>
    <col min="4" max="4" width="11" customWidth="1"/>
    <col min="5" max="5" width="13.140625" customWidth="1"/>
    <col min="6" max="6" width="17.140625" customWidth="1"/>
    <col min="7" max="8" width="11" customWidth="1"/>
    <col min="9" max="9" width="14.28515625" customWidth="1"/>
    <col min="10" max="10" width="11" customWidth="1"/>
    <col min="11" max="14" width="12" customWidth="1"/>
    <col min="15" max="15" width="9.28515625" customWidth="1"/>
  </cols>
  <sheetData>
    <row r="1" spans="2:16" ht="24.75" x14ac:dyDescent="0.5">
      <c r="C1" s="23" t="s">
        <v>25</v>
      </c>
      <c r="D1" s="23"/>
      <c r="E1" s="23"/>
      <c r="F1" s="23"/>
      <c r="G1" s="23"/>
      <c r="H1" s="23"/>
      <c r="I1" s="23"/>
      <c r="J1" s="23"/>
      <c r="K1" s="23"/>
      <c r="L1" s="23"/>
    </row>
    <row r="4" spans="2:16" x14ac:dyDescent="0.25">
      <c r="B4" s="1" t="s">
        <v>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23</v>
      </c>
      <c r="P4" s="3" t="s">
        <v>24</v>
      </c>
    </row>
    <row r="5" spans="2:16" x14ac:dyDescent="0.25">
      <c r="B5" s="4" t="s">
        <v>1</v>
      </c>
      <c r="C5" s="5">
        <v>80</v>
      </c>
      <c r="D5" s="5">
        <v>88</v>
      </c>
      <c r="E5" s="5">
        <v>76</v>
      </c>
      <c r="F5" s="5">
        <v>56</v>
      </c>
      <c r="G5" s="5">
        <v>98</v>
      </c>
      <c r="H5" s="5">
        <v>54</v>
      </c>
      <c r="I5" s="5">
        <f>SUM(Table2[[#This Row],[Subject1]:[Subject6]])</f>
        <v>452</v>
      </c>
      <c r="J5" s="5">
        <f>AVERAGE(I:I)</f>
        <v>411.1</v>
      </c>
      <c r="K5" s="5">
        <f>MIN(I:I)</f>
        <v>357</v>
      </c>
      <c r="L5" s="5">
        <f>MAX(I:I)</f>
        <v>460</v>
      </c>
      <c r="M5" s="5" t="str">
        <f>IF(I5&gt;=450, "A+", IF(I5&gt;=400, "A", IF(I5&gt;=350, "A-", "F")))</f>
        <v>A+</v>
      </c>
      <c r="N5" s="5">
        <f>LARGE(I:I, 1)</f>
        <v>460</v>
      </c>
      <c r="O5" s="5">
        <f>LARGE(I:I, 2)</f>
        <v>452</v>
      </c>
      <c r="P5" s="6">
        <f>LARGE(I:I, 3)</f>
        <v>449</v>
      </c>
    </row>
    <row r="6" spans="2:16" x14ac:dyDescent="0.25">
      <c r="B6" s="4" t="s">
        <v>2</v>
      </c>
      <c r="C6" s="5">
        <v>74</v>
      </c>
      <c r="D6" s="5">
        <v>70</v>
      </c>
      <c r="E6" s="5">
        <v>64</v>
      </c>
      <c r="F6" s="5">
        <v>45</v>
      </c>
      <c r="G6" s="5">
        <v>76</v>
      </c>
      <c r="H6" s="5">
        <v>56</v>
      </c>
      <c r="I6" s="5">
        <f>SUM(Table2[[#This Row],[Subject1]:[Subject6]])</f>
        <v>385</v>
      </c>
      <c r="J6" s="5"/>
      <c r="K6" s="5"/>
      <c r="L6" s="5"/>
      <c r="M6" s="5" t="str">
        <f t="shared" ref="M6:M14" si="0">IF(I6&gt;=450, "A+", IF(I6&gt;=400, "A", IF(I6&gt;=350, "A-", "F")))</f>
        <v>A-</v>
      </c>
      <c r="N6" s="5"/>
      <c r="O6" s="5"/>
      <c r="P6" s="6"/>
    </row>
    <row r="7" spans="2:16" x14ac:dyDescent="0.25">
      <c r="B7" s="4" t="s">
        <v>3</v>
      </c>
      <c r="C7" s="5">
        <v>88</v>
      </c>
      <c r="D7" s="5">
        <v>90</v>
      </c>
      <c r="E7" s="5">
        <v>70</v>
      </c>
      <c r="F7" s="5">
        <v>55</v>
      </c>
      <c r="G7" s="5">
        <v>87</v>
      </c>
      <c r="H7" s="5">
        <v>59</v>
      </c>
      <c r="I7" s="5">
        <f>SUM(Table2[[#This Row],[Subject1]:[Subject6]])</f>
        <v>449</v>
      </c>
      <c r="J7" s="5"/>
      <c r="K7" s="5"/>
      <c r="L7" s="5"/>
      <c r="M7" s="5" t="str">
        <f t="shared" si="0"/>
        <v>A</v>
      </c>
      <c r="N7" s="5"/>
      <c r="O7" s="5"/>
      <c r="P7" s="6"/>
    </row>
    <row r="8" spans="2:16" x14ac:dyDescent="0.25">
      <c r="B8" s="4" t="s">
        <v>4</v>
      </c>
      <c r="C8" s="5">
        <v>66</v>
      </c>
      <c r="D8" s="5">
        <v>75</v>
      </c>
      <c r="E8" s="5">
        <v>45</v>
      </c>
      <c r="F8" s="5">
        <v>65</v>
      </c>
      <c r="G8" s="5">
        <v>55</v>
      </c>
      <c r="H8" s="5">
        <v>51</v>
      </c>
      <c r="I8" s="5">
        <f>SUM(Table2[[#This Row],[Subject1]:[Subject6]])</f>
        <v>357</v>
      </c>
      <c r="J8" s="5"/>
      <c r="K8" s="5"/>
      <c r="L8" s="5"/>
      <c r="M8" s="5" t="str">
        <f t="shared" si="0"/>
        <v>A-</v>
      </c>
      <c r="N8" s="5"/>
      <c r="O8" s="5"/>
      <c r="P8" s="6"/>
    </row>
    <row r="9" spans="2:16" x14ac:dyDescent="0.25">
      <c r="B9" s="4" t="s">
        <v>5</v>
      </c>
      <c r="C9" s="5">
        <v>69</v>
      </c>
      <c r="D9" s="5">
        <v>90</v>
      </c>
      <c r="E9" s="5">
        <v>70</v>
      </c>
      <c r="F9" s="5">
        <v>55</v>
      </c>
      <c r="G9" s="5">
        <v>87</v>
      </c>
      <c r="H9" s="5">
        <v>59</v>
      </c>
      <c r="I9" s="5">
        <f>SUM(Table2[[#This Row],[Subject1]:[Subject6]])</f>
        <v>430</v>
      </c>
      <c r="J9" s="5"/>
      <c r="K9" s="5"/>
      <c r="L9" s="5"/>
      <c r="M9" s="5" t="str">
        <f t="shared" si="0"/>
        <v>A</v>
      </c>
      <c r="N9" s="5"/>
      <c r="O9" s="5"/>
      <c r="P9" s="6"/>
    </row>
    <row r="10" spans="2:16" x14ac:dyDescent="0.25">
      <c r="B10" s="4" t="s">
        <v>6</v>
      </c>
      <c r="C10" s="5">
        <v>66</v>
      </c>
      <c r="D10" s="5">
        <v>76</v>
      </c>
      <c r="E10" s="5">
        <v>58</v>
      </c>
      <c r="F10" s="5">
        <v>50</v>
      </c>
      <c r="G10" s="5">
        <v>73</v>
      </c>
      <c r="H10" s="5">
        <v>49</v>
      </c>
      <c r="I10" s="5">
        <f>SUM(Table2[[#This Row],[Subject1]:[Subject6]])</f>
        <v>372</v>
      </c>
      <c r="J10" s="5"/>
      <c r="K10" s="5"/>
      <c r="L10" s="5"/>
      <c r="M10" s="5" t="str">
        <f t="shared" si="0"/>
        <v>A-</v>
      </c>
      <c r="N10" s="5"/>
      <c r="O10" s="5"/>
      <c r="P10" s="6"/>
    </row>
    <row r="11" spans="2:16" x14ac:dyDescent="0.25">
      <c r="B11" s="4" t="s">
        <v>7</v>
      </c>
      <c r="C11" s="5">
        <v>88</v>
      </c>
      <c r="D11" s="5">
        <v>76</v>
      </c>
      <c r="E11" s="5">
        <v>81</v>
      </c>
      <c r="F11" s="5">
        <v>54</v>
      </c>
      <c r="G11" s="5">
        <v>87</v>
      </c>
      <c r="H11" s="5">
        <v>60</v>
      </c>
      <c r="I11" s="5">
        <f>SUM(Table2[[#This Row],[Subject1]:[Subject6]])</f>
        <v>446</v>
      </c>
      <c r="J11" s="5"/>
      <c r="K11" s="5"/>
      <c r="L11" s="5"/>
      <c r="M11" s="5" t="str">
        <f t="shared" si="0"/>
        <v>A</v>
      </c>
      <c r="N11" s="5"/>
      <c r="O11" s="5"/>
      <c r="P11" s="6"/>
    </row>
    <row r="12" spans="2:16" x14ac:dyDescent="0.25">
      <c r="B12" s="4" t="s">
        <v>8</v>
      </c>
      <c r="C12" s="5">
        <v>76</v>
      </c>
      <c r="D12" s="5">
        <v>56</v>
      </c>
      <c r="E12" s="5">
        <v>75</v>
      </c>
      <c r="F12" s="5">
        <v>55</v>
      </c>
      <c r="G12" s="5">
        <v>66</v>
      </c>
      <c r="H12" s="5">
        <v>40</v>
      </c>
      <c r="I12" s="5">
        <f>SUM(Table2[[#This Row],[Subject1]:[Subject6]])</f>
        <v>368</v>
      </c>
      <c r="J12" s="5"/>
      <c r="K12" s="5"/>
      <c r="L12" s="5"/>
      <c r="M12" s="5" t="str">
        <f t="shared" si="0"/>
        <v>A-</v>
      </c>
      <c r="N12" s="5"/>
      <c r="O12" s="5"/>
      <c r="P12" s="6"/>
    </row>
    <row r="13" spans="2:16" x14ac:dyDescent="0.25">
      <c r="B13" s="4" t="s">
        <v>9</v>
      </c>
      <c r="C13" s="5">
        <v>80</v>
      </c>
      <c r="D13" s="5">
        <v>71</v>
      </c>
      <c r="E13" s="5">
        <v>57</v>
      </c>
      <c r="F13" s="5">
        <v>60</v>
      </c>
      <c r="G13" s="5">
        <v>78</v>
      </c>
      <c r="H13" s="5">
        <v>46</v>
      </c>
      <c r="I13" s="5">
        <f>SUM(Table2[[#This Row],[Subject1]:[Subject6]])</f>
        <v>392</v>
      </c>
      <c r="J13" s="5"/>
      <c r="K13" s="5"/>
      <c r="L13" s="5"/>
      <c r="M13" s="5" t="str">
        <f t="shared" si="0"/>
        <v>A-</v>
      </c>
      <c r="N13" s="5"/>
      <c r="O13" s="5"/>
      <c r="P13" s="6"/>
    </row>
    <row r="14" spans="2:16" x14ac:dyDescent="0.25">
      <c r="B14" s="7" t="s">
        <v>10</v>
      </c>
      <c r="C14" s="8">
        <v>88</v>
      </c>
      <c r="D14" s="8">
        <v>90</v>
      </c>
      <c r="E14" s="8">
        <v>70</v>
      </c>
      <c r="F14" s="8">
        <v>65</v>
      </c>
      <c r="G14" s="8">
        <v>87</v>
      </c>
      <c r="H14" s="8">
        <v>60</v>
      </c>
      <c r="I14" s="8">
        <f>SUM(Table2[[#This Row],[Subject1]:[Subject6]])</f>
        <v>460</v>
      </c>
      <c r="J14" s="8"/>
      <c r="K14" s="8"/>
      <c r="L14" s="8"/>
      <c r="M14" s="8" t="str">
        <f t="shared" si="0"/>
        <v>A+</v>
      </c>
      <c r="N14" s="8"/>
      <c r="O14" s="8"/>
      <c r="P14" s="9"/>
    </row>
    <row r="17" spans="4:7" x14ac:dyDescent="0.25">
      <c r="E17" s="22" t="s">
        <v>49</v>
      </c>
      <c r="F17" s="22" t="s">
        <v>50</v>
      </c>
      <c r="G17" s="22" t="s">
        <v>51</v>
      </c>
    </row>
    <row r="18" spans="4:7" x14ac:dyDescent="0.25">
      <c r="D18" s="21" t="s">
        <v>46</v>
      </c>
      <c r="E18" s="17">
        <f>LARGE(Table2[[Total ]],1)</f>
        <v>460</v>
      </c>
      <c r="F18" s="17" t="str">
        <f>INDEX(Table2[[Name ]],MATCH(E18,Table2[[Total ]],0))</f>
        <v>Tahsin Sheikh</v>
      </c>
      <c r="G18" s="17" t="str">
        <f>INDEX(Table2[Great],MATCH(E18,Table2[[Total ]],0))</f>
        <v>A+</v>
      </c>
    </row>
    <row r="19" spans="4:7" x14ac:dyDescent="0.25">
      <c r="D19" s="21" t="s">
        <v>47</v>
      </c>
      <c r="E19" s="17">
        <f>LARGE(Table2[[Total ]],2)</f>
        <v>452</v>
      </c>
      <c r="F19" s="17" t="str">
        <f>INDEX(Table2[[Name ]],MATCH(E19,Table2[[Total ]],0))</f>
        <v>Abid Hasan Sheikh</v>
      </c>
      <c r="G19" s="17" t="str">
        <f>INDEX(Table2[Great],MATCH(E19,Table2[[Total ]],0))</f>
        <v>A+</v>
      </c>
    </row>
    <row r="20" spans="4:7" x14ac:dyDescent="0.25">
      <c r="D20" s="21" t="s">
        <v>48</v>
      </c>
      <c r="E20" s="17">
        <f>LARGE(Table2[[Total ]],3)</f>
        <v>449</v>
      </c>
      <c r="F20" s="17" t="str">
        <f>INDEX(Table2[[Name ]],MATCH(E20,Table2[[Total ]],0))</f>
        <v xml:space="preserve">Salman Mia </v>
      </c>
      <c r="G20" s="17" t="str">
        <f>INDEX(Table2[Great],MATCH(E20,Table2[[Total ]],0))</f>
        <v>A</v>
      </c>
    </row>
  </sheetData>
  <mergeCells count="1">
    <mergeCell ref="C1:L1"/>
  </mergeCells>
  <pageMargins left="0.25" right="4.5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J40"/>
  <sheetViews>
    <sheetView topLeftCell="A10" workbookViewId="0">
      <selection activeCell="F38" sqref="F38"/>
    </sheetView>
  </sheetViews>
  <sheetFormatPr defaultRowHeight="15" x14ac:dyDescent="0.25"/>
  <cols>
    <col min="3" max="3" width="14.140625" customWidth="1"/>
    <col min="4" max="4" width="20" customWidth="1"/>
    <col min="5" max="5" width="15" customWidth="1"/>
    <col min="6" max="6" width="21.28515625" customWidth="1"/>
    <col min="7" max="7" width="14.140625" customWidth="1"/>
    <col min="8" max="8" width="16.5703125" style="14" customWidth="1"/>
    <col min="9" max="9" width="12.7109375" customWidth="1"/>
    <col min="10" max="10" width="14.7109375" customWidth="1"/>
  </cols>
  <sheetData>
    <row r="4" spans="4:8" ht="18.75" x14ac:dyDescent="0.3">
      <c r="D4" s="11" t="s">
        <v>0</v>
      </c>
      <c r="E4" s="11" t="s">
        <v>26</v>
      </c>
      <c r="F4" s="12" t="s">
        <v>28</v>
      </c>
      <c r="G4" s="11" t="s">
        <v>27</v>
      </c>
      <c r="H4" s="12" t="s">
        <v>17</v>
      </c>
    </row>
    <row r="5" spans="4:8" x14ac:dyDescent="0.25">
      <c r="D5" s="10" t="s">
        <v>29</v>
      </c>
      <c r="E5" s="10"/>
      <c r="F5" s="13">
        <v>200</v>
      </c>
      <c r="G5" s="5">
        <v>10</v>
      </c>
      <c r="H5" s="15">
        <f>SUM(F5*G5)</f>
        <v>2000</v>
      </c>
    </row>
    <row r="6" spans="4:8" x14ac:dyDescent="0.25">
      <c r="D6" s="10" t="s">
        <v>30</v>
      </c>
      <c r="E6" s="10"/>
      <c r="F6" s="13">
        <v>300</v>
      </c>
      <c r="G6" s="5">
        <v>5</v>
      </c>
      <c r="H6" s="15">
        <f t="shared" ref="H6:H10" si="0">SUM(F6*G6)</f>
        <v>1500</v>
      </c>
    </row>
    <row r="7" spans="4:8" x14ac:dyDescent="0.25">
      <c r="D7" s="10" t="s">
        <v>31</v>
      </c>
      <c r="E7" s="10"/>
      <c r="F7" s="13">
        <v>250</v>
      </c>
      <c r="G7" s="5">
        <v>9</v>
      </c>
      <c r="H7" s="15">
        <f t="shared" si="0"/>
        <v>2250</v>
      </c>
    </row>
    <row r="8" spans="4:8" x14ac:dyDescent="0.25">
      <c r="D8" s="10" t="s">
        <v>32</v>
      </c>
      <c r="E8" s="10"/>
      <c r="F8" s="13">
        <v>430</v>
      </c>
      <c r="G8" s="5">
        <v>5</v>
      </c>
      <c r="H8" s="15">
        <f t="shared" si="0"/>
        <v>2150</v>
      </c>
    </row>
    <row r="9" spans="4:8" x14ac:dyDescent="0.25">
      <c r="D9" s="10" t="s">
        <v>33</v>
      </c>
      <c r="E9" s="10"/>
      <c r="F9" s="13">
        <v>890</v>
      </c>
      <c r="G9" s="5">
        <v>4</v>
      </c>
      <c r="H9" s="15">
        <f t="shared" si="0"/>
        <v>3560</v>
      </c>
    </row>
    <row r="10" spans="4:8" x14ac:dyDescent="0.25">
      <c r="D10" s="10"/>
      <c r="E10" s="10"/>
      <c r="F10" s="13">
        <v>60</v>
      </c>
      <c r="G10" s="5">
        <v>70</v>
      </c>
      <c r="H10" s="15">
        <f t="shared" si="0"/>
        <v>4200</v>
      </c>
    </row>
    <row r="11" spans="4:8" x14ac:dyDescent="0.25">
      <c r="D11" s="10"/>
      <c r="E11" s="10"/>
      <c r="F11" s="13"/>
      <c r="G11" s="5"/>
      <c r="H11" s="15"/>
    </row>
    <row r="12" spans="4:8" x14ac:dyDescent="0.25">
      <c r="D12" s="10"/>
      <c r="E12" s="10"/>
      <c r="F12" s="13"/>
      <c r="G12" s="5"/>
      <c r="H12" s="13"/>
    </row>
    <row r="13" spans="4:8" x14ac:dyDescent="0.25">
      <c r="D13" s="10"/>
      <c r="E13" s="10"/>
      <c r="F13" s="13"/>
      <c r="G13" s="10"/>
      <c r="H13" s="13"/>
    </row>
    <row r="16" spans="4:8" x14ac:dyDescent="0.25">
      <c r="D16" s="24"/>
      <c r="E16" s="24"/>
      <c r="F16" s="24"/>
      <c r="G16" s="24"/>
    </row>
    <row r="19" spans="3:10" x14ac:dyDescent="0.25">
      <c r="C19" s="20" t="s">
        <v>34</v>
      </c>
      <c r="D19" s="20" t="s">
        <v>45</v>
      </c>
      <c r="E19" s="20" t="s">
        <v>35</v>
      </c>
      <c r="F19" s="20" t="s">
        <v>36</v>
      </c>
      <c r="H19" s="18" t="s">
        <v>40</v>
      </c>
      <c r="I19" s="19" t="s">
        <v>44</v>
      </c>
      <c r="J19" s="19" t="s">
        <v>43</v>
      </c>
    </row>
    <row r="20" spans="3:10" x14ac:dyDescent="0.25">
      <c r="C20" s="16">
        <f>DATE(2025,9,24)</f>
        <v>45924</v>
      </c>
      <c r="D20" s="10" t="s">
        <v>37</v>
      </c>
      <c r="E20" s="10"/>
      <c r="F20" s="10">
        <v>5000</v>
      </c>
      <c r="H20" s="13" t="s">
        <v>41</v>
      </c>
      <c r="I20" s="10">
        <f>COUNTIF(D20:D33,H20)</f>
        <v>0</v>
      </c>
      <c r="J20" s="10">
        <f>SUMIF(D20:D33,H20,F20:F33)</f>
        <v>0</v>
      </c>
    </row>
    <row r="21" spans="3:10" x14ac:dyDescent="0.25">
      <c r="C21" s="16">
        <v>45925</v>
      </c>
      <c r="D21" s="10" t="s">
        <v>38</v>
      </c>
      <c r="E21" s="10"/>
      <c r="F21" s="10">
        <v>15000</v>
      </c>
      <c r="H21" s="13" t="s">
        <v>42</v>
      </c>
      <c r="I21" s="10">
        <f t="shared" ref="I21:I22" si="1">COUNTIF(D21:D34,H21)</f>
        <v>0</v>
      </c>
      <c r="J21" s="10"/>
    </row>
    <row r="22" spans="3:10" x14ac:dyDescent="0.25">
      <c r="C22" s="10"/>
      <c r="D22" s="10" t="s">
        <v>39</v>
      </c>
      <c r="E22" s="10"/>
      <c r="F22" s="10">
        <v>20000</v>
      </c>
      <c r="H22" s="13" t="s">
        <v>39</v>
      </c>
      <c r="I22" s="10">
        <f t="shared" si="1"/>
        <v>4</v>
      </c>
      <c r="J22" s="10">
        <f>SUMIF(D20:D33,H22,F20:F33)</f>
        <v>80040</v>
      </c>
    </row>
    <row r="23" spans="3:10" x14ac:dyDescent="0.25">
      <c r="C23" s="10"/>
      <c r="D23" s="10" t="s">
        <v>38</v>
      </c>
      <c r="E23" s="10"/>
      <c r="F23" s="10">
        <v>19000</v>
      </c>
    </row>
    <row r="24" spans="3:10" x14ac:dyDescent="0.25">
      <c r="C24" s="10"/>
      <c r="D24" s="10" t="s">
        <v>37</v>
      </c>
      <c r="E24" s="10"/>
      <c r="F24" s="10">
        <v>2000</v>
      </c>
    </row>
    <row r="25" spans="3:10" x14ac:dyDescent="0.25">
      <c r="C25" s="10"/>
      <c r="D25" s="10" t="s">
        <v>39</v>
      </c>
      <c r="E25" s="10"/>
      <c r="F25" s="10">
        <v>3400</v>
      </c>
    </row>
    <row r="26" spans="3:10" x14ac:dyDescent="0.25">
      <c r="C26" s="10"/>
      <c r="D26" s="10" t="s">
        <v>38</v>
      </c>
      <c r="E26" s="10"/>
      <c r="F26" s="10">
        <v>23000</v>
      </c>
    </row>
    <row r="27" spans="3:10" x14ac:dyDescent="0.25">
      <c r="C27" s="10"/>
      <c r="D27" s="10" t="s">
        <v>37</v>
      </c>
      <c r="E27" s="10"/>
      <c r="F27" s="10">
        <v>5600</v>
      </c>
    </row>
    <row r="28" spans="3:10" x14ac:dyDescent="0.25">
      <c r="C28" s="10"/>
      <c r="D28" s="10" t="s">
        <v>39</v>
      </c>
      <c r="E28" s="10"/>
      <c r="F28" s="10">
        <v>6600</v>
      </c>
    </row>
    <row r="29" spans="3:10" x14ac:dyDescent="0.25">
      <c r="C29" s="10"/>
      <c r="D29" s="10" t="s">
        <v>38</v>
      </c>
      <c r="E29" s="10"/>
      <c r="F29" s="10">
        <v>43000</v>
      </c>
    </row>
    <row r="30" spans="3:10" x14ac:dyDescent="0.25">
      <c r="C30" s="10"/>
      <c r="D30" s="10" t="s">
        <v>38</v>
      </c>
      <c r="E30" s="10"/>
      <c r="F30" s="10">
        <v>54000</v>
      </c>
    </row>
    <row r="31" spans="3:10" x14ac:dyDescent="0.25">
      <c r="C31" s="10"/>
      <c r="D31" s="10" t="s">
        <v>37</v>
      </c>
      <c r="E31" s="10"/>
      <c r="F31" s="10">
        <v>60000</v>
      </c>
    </row>
    <row r="32" spans="3:10" x14ac:dyDescent="0.25">
      <c r="C32" s="10"/>
      <c r="D32" s="10" t="s">
        <v>37</v>
      </c>
      <c r="E32" s="10"/>
      <c r="F32" s="10">
        <v>4000</v>
      </c>
    </row>
    <row r="33" spans="3:6" x14ac:dyDescent="0.25">
      <c r="C33" s="10"/>
      <c r="D33" s="10" t="s">
        <v>39</v>
      </c>
      <c r="E33" s="10"/>
      <c r="F33" s="10">
        <v>50040</v>
      </c>
    </row>
    <row r="36" spans="3:6" x14ac:dyDescent="0.25">
      <c r="D36" t="s">
        <v>40</v>
      </c>
      <c r="E36" t="s">
        <v>27</v>
      </c>
    </row>
    <row r="37" spans="3:6" x14ac:dyDescent="0.25">
      <c r="D37" t="s">
        <v>41</v>
      </c>
    </row>
    <row r="38" spans="3:6" x14ac:dyDescent="0.25">
      <c r="D38" t="s">
        <v>42</v>
      </c>
      <c r="E38">
        <f t="shared" ref="E38:E39" si="2">COUNTIF($D$20:$D$33,D38)</f>
        <v>0</v>
      </c>
    </row>
    <row r="39" spans="3:6" x14ac:dyDescent="0.25">
      <c r="D39" t="s">
        <v>39</v>
      </c>
      <c r="E39">
        <f t="shared" si="2"/>
        <v>4</v>
      </c>
    </row>
    <row r="40" spans="3:6" x14ac:dyDescent="0.25">
      <c r="E40">
        <f>COUNTIFS($D$20:$D$33,D37)</f>
        <v>0</v>
      </c>
    </row>
  </sheetData>
  <autoFilter ref="C19:F33" xr:uid="{00000000-0001-0000-0100-000000000000}"/>
  <mergeCells count="1">
    <mergeCell ref="D16:G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Hasif Shek</dc:creator>
  <cp:lastModifiedBy>Abid Hasan</cp:lastModifiedBy>
  <cp:lastPrinted>2025-09-24T06:31:22Z</cp:lastPrinted>
  <dcterms:created xsi:type="dcterms:W3CDTF">2025-09-24T06:06:23Z</dcterms:created>
  <dcterms:modified xsi:type="dcterms:W3CDTF">2025-10-18T08:20:13Z</dcterms:modified>
</cp:coreProperties>
</file>