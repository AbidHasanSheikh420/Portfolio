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 activeTab="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<sst xmlns="http://schemas.openxmlformats.org/spreadsheetml/2006/main" count="50" uniqueCount="43">
  <si>
    <t>Samsung</t>
  </si>
  <si>
    <t>Discount%</t>
  </si>
  <si>
    <t xml:space="preserve">Item </t>
  </si>
  <si>
    <t>Sale</t>
  </si>
  <si>
    <t>Discout Amount</t>
  </si>
  <si>
    <t>Total  Amount</t>
  </si>
  <si>
    <t xml:space="preserve">Employee Salary Sheet </t>
  </si>
  <si>
    <t xml:space="preserve">Name </t>
  </si>
  <si>
    <t>Basic</t>
  </si>
  <si>
    <t>Ta-Da(10%)</t>
  </si>
  <si>
    <t>HRA(15%)</t>
  </si>
  <si>
    <t>Overtime(50%)</t>
  </si>
  <si>
    <t>Gross Salary</t>
  </si>
  <si>
    <t>EPA(12%)</t>
  </si>
  <si>
    <t>Net Salary</t>
  </si>
  <si>
    <t>Abid Hasan Sheikh</t>
  </si>
  <si>
    <t>Hasan</t>
  </si>
  <si>
    <t>Hasip</t>
  </si>
  <si>
    <t>Saim</t>
  </si>
  <si>
    <t>Abdur Rohim</t>
  </si>
  <si>
    <t xml:space="preserve">Conditional and or use in Slary sheet FOR a company </t>
  </si>
  <si>
    <t xml:space="preserve">Job type </t>
  </si>
  <si>
    <t xml:space="preserve">Year </t>
  </si>
  <si>
    <t>Sell</t>
  </si>
  <si>
    <t>salary</t>
  </si>
  <si>
    <t xml:space="preserve">Bonus Rent </t>
  </si>
  <si>
    <t>AND</t>
  </si>
  <si>
    <t>OR</t>
  </si>
  <si>
    <t>Abid Hasan</t>
  </si>
  <si>
    <t xml:space="preserve">Full time </t>
  </si>
  <si>
    <t>Hasip Shiekh</t>
  </si>
  <si>
    <t xml:space="preserve">Half time </t>
  </si>
  <si>
    <t xml:space="preserve">Hasan </t>
  </si>
  <si>
    <t>Rakib</t>
  </si>
  <si>
    <t xml:space="preserve">Rasel </t>
  </si>
  <si>
    <t>Rohomat</t>
  </si>
  <si>
    <t>Shah alom</t>
  </si>
  <si>
    <t>CONDITION</t>
  </si>
  <si>
    <t xml:space="preserve">YEAR </t>
  </si>
  <si>
    <t xml:space="preserve">JOB TYPE </t>
  </si>
  <si>
    <t>SELL</t>
  </si>
  <si>
    <t>BONUS RENT</t>
  </si>
  <si>
    <t xml:space="preserve">FULL TIME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</si>
</sst>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&quot;$&quot;#,##0.00"/>
  </numFmts>
  <fonts count="26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8" tint="0.399975585192419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177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7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9" borderId="7" applyNumberFormat="0" applyAlignment="0" applyProtection="0">
      <alignment vertical="center"/>
    </xf>
    <xf numFmtId="0" fontId="17" fillId="9" borderId="6" applyNumberFormat="0" applyAlignment="0" applyProtection="0">
      <alignment vertical="center"/>
    </xf>
    <xf numFmtId="0" fontId="18" fillId="10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36" borderId="0" applyNumberFormat="0" applyBorder="0" applyAlignment="0" applyProtection="0">
      <alignment vertical="center"/>
    </xf>
    <xf numFmtId="0" fontId="24" fillId="37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1" xfId="0" applyFont="1" applyBorder="1" applyAlignment="1">
      <alignment horizontal="center"/>
    </xf>
    <xf numFmtId="178" fontId="2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178" fontId="0" fillId="0" borderId="1" xfId="0" applyNumberFormat="1" applyBorder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4" borderId="0" xfId="0" applyFill="1"/>
    <xf numFmtId="0" fontId="0" fillId="0" borderId="0" xfId="0" applyAlignment="1">
      <alignment horizontal="center"/>
    </xf>
    <xf numFmtId="9" fontId="0" fillId="0" borderId="0" xfId="0" applyNumberFormat="1"/>
    <xf numFmtId="0" fontId="0" fillId="0" borderId="1" xfId="0" applyBorder="1"/>
    <xf numFmtId="0" fontId="4" fillId="5" borderId="1" xfId="0" applyFont="1" applyFill="1" applyBorder="1" applyAlignment="1">
      <alignment horizontal="center"/>
    </xf>
    <xf numFmtId="0" fontId="4" fillId="5" borderId="1" xfId="3" applyNumberFormat="1" applyFont="1" applyFill="1" applyBorder="1" applyAlignment="1">
      <alignment horizontal="center"/>
    </xf>
    <xf numFmtId="178" fontId="0" fillId="0" borderId="1" xfId="2" applyNumberFormat="1" applyFont="1" applyBorder="1" applyAlignment="1">
      <alignment horizontal="center"/>
    </xf>
    <xf numFmtId="0" fontId="0" fillId="0" borderId="1" xfId="3" applyNumberFormat="1" applyFont="1" applyBorder="1" applyAlignment="1">
      <alignment horizontal="center"/>
    </xf>
    <xf numFmtId="0" fontId="5" fillId="5" borderId="0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99FFCC"/>
      <color rgb="0004863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I35"/>
  <sheetViews>
    <sheetView topLeftCell="A16" workbookViewId="0">
      <selection activeCell="B44" sqref="B44"/>
    </sheetView>
  </sheetViews>
  <sheetFormatPr defaultColWidth="9" defaultRowHeight="15"/>
  <cols>
    <col min="2" max="2" width="20.2857142857143" customWidth="1"/>
    <col min="3" max="3" width="20" customWidth="1"/>
    <col min="4" max="4" width="15.2857142857143" customWidth="1"/>
    <col min="5" max="5" width="15.4285714285714" customWidth="1"/>
    <col min="6" max="6" width="23.1428571428571" customWidth="1"/>
    <col min="7" max="7" width="19.2857142857143" customWidth="1"/>
    <col min="8" max="8" width="17.8571428571429" customWidth="1"/>
    <col min="9" max="9" width="18.2857142857143" customWidth="1"/>
  </cols>
  <sheetData>
    <row r="2" spans="2:2">
      <c r="B2" s="10"/>
    </row>
    <row r="4" spans="2:7">
      <c r="B4" s="11" t="s">
        <v>0</v>
      </c>
      <c r="C4" s="12" t="s">
        <v>1</v>
      </c>
      <c r="D4" s="11" t="s">
        <v>2</v>
      </c>
      <c r="E4" s="11" t="s">
        <v>3</v>
      </c>
      <c r="F4" s="11" t="s">
        <v>4</v>
      </c>
      <c r="G4" s="11" t="s">
        <v>5</v>
      </c>
    </row>
    <row r="5" spans="2:7">
      <c r="B5" s="13">
        <v>500</v>
      </c>
      <c r="C5" s="14">
        <v>1</v>
      </c>
      <c r="D5" s="13" t="s">
        <v>0</v>
      </c>
      <c r="E5" s="13">
        <v>2500</v>
      </c>
      <c r="F5" s="13">
        <f>SUM(E5/100*C5)</f>
        <v>25</v>
      </c>
      <c r="G5" s="13">
        <f>SUM(E5-F5)</f>
        <v>2475</v>
      </c>
    </row>
    <row r="6" spans="2:7">
      <c r="B6" s="13">
        <v>1000</v>
      </c>
      <c r="C6" s="14">
        <v>2</v>
      </c>
      <c r="D6" s="13"/>
      <c r="E6" s="13">
        <v>5000</v>
      </c>
      <c r="F6" s="13">
        <f>SUM(E6/100*C6)</f>
        <v>100</v>
      </c>
      <c r="G6" s="13">
        <f t="shared" ref="G6:G10" si="0">SUM(E6-F6)</f>
        <v>4900</v>
      </c>
    </row>
    <row r="7" spans="2:7">
      <c r="B7" s="13">
        <v>1500</v>
      </c>
      <c r="C7" s="14">
        <v>3</v>
      </c>
      <c r="D7" s="13"/>
      <c r="E7" s="13">
        <v>45000</v>
      </c>
      <c r="F7" s="13">
        <f t="shared" ref="F7:F10" si="1">SUM(E7/100*C7)</f>
        <v>1350</v>
      </c>
      <c r="G7" s="13">
        <f t="shared" si="0"/>
        <v>43650</v>
      </c>
    </row>
    <row r="8" spans="2:7">
      <c r="B8" s="13">
        <v>2000</v>
      </c>
      <c r="C8" s="14">
        <v>4</v>
      </c>
      <c r="D8" s="13"/>
      <c r="E8" s="13">
        <v>30000</v>
      </c>
      <c r="F8" s="13">
        <f t="shared" si="1"/>
        <v>1200</v>
      </c>
      <c r="G8" s="13">
        <f t="shared" si="0"/>
        <v>28800</v>
      </c>
    </row>
    <row r="9" spans="2:7">
      <c r="B9" s="13">
        <v>2500</v>
      </c>
      <c r="C9" s="14">
        <v>5</v>
      </c>
      <c r="D9" s="13"/>
      <c r="E9" s="13">
        <v>50000</v>
      </c>
      <c r="F9" s="13">
        <f t="shared" si="1"/>
        <v>2500</v>
      </c>
      <c r="G9" s="13">
        <f t="shared" si="0"/>
        <v>47500</v>
      </c>
    </row>
    <row r="10" spans="2:7">
      <c r="B10" s="13">
        <v>12000</v>
      </c>
      <c r="C10" s="14">
        <v>6</v>
      </c>
      <c r="D10" s="13"/>
      <c r="E10" s="13">
        <v>600000</v>
      </c>
      <c r="F10" s="13">
        <f t="shared" si="1"/>
        <v>36000</v>
      </c>
      <c r="G10" s="13">
        <f t="shared" si="0"/>
        <v>564000</v>
      </c>
    </row>
    <row r="11" spans="2:7">
      <c r="B11" s="13"/>
      <c r="C11" s="14"/>
      <c r="D11" s="13"/>
      <c r="E11" s="13"/>
      <c r="F11" s="13"/>
      <c r="G11" s="13"/>
    </row>
    <row r="12" spans="2:7">
      <c r="B12" s="13"/>
      <c r="C12" s="14"/>
      <c r="D12" s="13"/>
      <c r="E12" s="13"/>
      <c r="F12" s="13"/>
      <c r="G12" s="13"/>
    </row>
    <row r="13" spans="2:7">
      <c r="B13" s="13"/>
      <c r="C13" s="14"/>
      <c r="D13" s="13"/>
      <c r="E13" s="13"/>
      <c r="F13" s="13"/>
      <c r="G13" s="13"/>
    </row>
    <row r="14" spans="2:7">
      <c r="B14" s="13"/>
      <c r="C14" s="14"/>
      <c r="D14" s="13"/>
      <c r="E14" s="13"/>
      <c r="F14" s="13"/>
      <c r="G14" s="13"/>
    </row>
    <row r="15" spans="2:7">
      <c r="B15" s="13"/>
      <c r="C15" s="14"/>
      <c r="D15" s="13"/>
      <c r="E15" s="13"/>
      <c r="F15" s="13"/>
      <c r="G15" s="13"/>
    </row>
    <row r="16" spans="2:7">
      <c r="B16" s="13"/>
      <c r="C16" s="14"/>
      <c r="D16" s="13"/>
      <c r="E16" s="13"/>
      <c r="F16" s="13"/>
      <c r="G16" s="13"/>
    </row>
    <row r="17" spans="2:7">
      <c r="B17" s="13"/>
      <c r="C17" s="14"/>
      <c r="D17" s="13"/>
      <c r="E17" s="13"/>
      <c r="F17" s="13"/>
      <c r="G17" s="13"/>
    </row>
    <row r="18" spans="2:7">
      <c r="B18" s="13"/>
      <c r="C18" s="14"/>
      <c r="D18" s="13"/>
      <c r="E18" s="13"/>
      <c r="F18" s="13"/>
      <c r="G18" s="13"/>
    </row>
    <row r="19" spans="2:7">
      <c r="B19" s="13"/>
      <c r="C19" s="14"/>
      <c r="D19" s="13"/>
      <c r="E19" s="13"/>
      <c r="F19" s="13"/>
      <c r="G19" s="13"/>
    </row>
    <row r="20" spans="2:7">
      <c r="B20" s="13"/>
      <c r="C20" s="14"/>
      <c r="D20" s="13"/>
      <c r="E20" s="13"/>
      <c r="F20" s="13"/>
      <c r="G20" s="13"/>
    </row>
    <row r="21" spans="2:7">
      <c r="B21" s="13"/>
      <c r="C21" s="14"/>
      <c r="D21" s="13"/>
      <c r="E21" s="13"/>
      <c r="F21" s="13"/>
      <c r="G21" s="13"/>
    </row>
    <row r="22" spans="2:7">
      <c r="B22" s="13"/>
      <c r="C22" s="14"/>
      <c r="D22" s="13"/>
      <c r="E22" s="13"/>
      <c r="F22" s="13"/>
      <c r="G22" s="13"/>
    </row>
    <row r="23" spans="2:7">
      <c r="B23" s="13"/>
      <c r="C23" s="14"/>
      <c r="D23" s="13"/>
      <c r="E23" s="13"/>
      <c r="F23" s="13"/>
      <c r="G23" s="13"/>
    </row>
    <row r="24" spans="2:7">
      <c r="B24" s="13"/>
      <c r="C24" s="14"/>
      <c r="D24" s="13"/>
      <c r="E24" s="13"/>
      <c r="F24" s="13"/>
      <c r="G24" s="13"/>
    </row>
    <row r="26" ht="21" spans="1:9">
      <c r="A26" s="15" t="s">
        <v>6</v>
      </c>
      <c r="B26" s="15"/>
      <c r="C26" s="15"/>
      <c r="D26" s="15"/>
      <c r="E26" s="15"/>
      <c r="F26" s="15"/>
      <c r="G26" s="15"/>
      <c r="H26" s="15"/>
      <c r="I26" s="17"/>
    </row>
    <row r="27" spans="2:9">
      <c r="B27" s="16" t="s">
        <v>7</v>
      </c>
      <c r="C27" s="16" t="s">
        <v>8</v>
      </c>
      <c r="D27" s="16" t="s">
        <v>9</v>
      </c>
      <c r="E27" s="16" t="s">
        <v>10</v>
      </c>
      <c r="F27" s="16" t="s">
        <v>11</v>
      </c>
      <c r="G27" s="16" t="s">
        <v>12</v>
      </c>
      <c r="H27" s="16" t="s">
        <v>13</v>
      </c>
      <c r="I27" s="16" t="s">
        <v>14</v>
      </c>
    </row>
    <row r="28" spans="2:9">
      <c r="B28" s="4" t="s">
        <v>15</v>
      </c>
      <c r="C28" s="4">
        <v>8000</v>
      </c>
      <c r="D28" s="4">
        <f>SUM(C28/100*10)</f>
        <v>800</v>
      </c>
      <c r="E28" s="4">
        <f>SUM(C28/100*15)</f>
        <v>1200</v>
      </c>
      <c r="F28" s="4">
        <f>SUM(C28/100*50)</f>
        <v>4000</v>
      </c>
      <c r="G28" s="4">
        <f>SUM(C28:F28)</f>
        <v>14000</v>
      </c>
      <c r="H28" s="4">
        <f>SUM(C28/100*12)</f>
        <v>960</v>
      </c>
      <c r="I28" s="4">
        <f>SUM(G28-H28)</f>
        <v>13040</v>
      </c>
    </row>
    <row r="29" spans="2:9">
      <c r="B29" s="4" t="s">
        <v>16</v>
      </c>
      <c r="C29" s="4">
        <v>18000</v>
      </c>
      <c r="D29" s="4">
        <f t="shared" ref="D29:D32" si="2">SUM(C29/100*10)</f>
        <v>1800</v>
      </c>
      <c r="E29" s="4">
        <f t="shared" ref="E29:E32" si="3">SUM(C29/100*15)</f>
        <v>2700</v>
      </c>
      <c r="F29" s="4">
        <f t="shared" ref="F29:F32" si="4">SUM(C29/100*50)</f>
        <v>9000</v>
      </c>
      <c r="G29" s="4">
        <f t="shared" ref="G29:G32" si="5">SUM(C29:F29)</f>
        <v>31500</v>
      </c>
      <c r="H29" s="4">
        <f t="shared" ref="H29:H32" si="6">SUM(C29/100*12)</f>
        <v>2160</v>
      </c>
      <c r="I29" s="4">
        <f t="shared" ref="I29:I32" si="7">SUM(G29-H29)</f>
        <v>29340</v>
      </c>
    </row>
    <row r="30" spans="2:9">
      <c r="B30" s="4" t="s">
        <v>17</v>
      </c>
      <c r="C30" s="4">
        <v>22000</v>
      </c>
      <c r="D30" s="4">
        <f t="shared" si="2"/>
        <v>2200</v>
      </c>
      <c r="E30" s="4">
        <f t="shared" si="3"/>
        <v>3300</v>
      </c>
      <c r="F30" s="4">
        <f t="shared" si="4"/>
        <v>11000</v>
      </c>
      <c r="G30" s="4">
        <f t="shared" si="5"/>
        <v>38500</v>
      </c>
      <c r="H30" s="4">
        <f t="shared" si="6"/>
        <v>2640</v>
      </c>
      <c r="I30" s="4">
        <f t="shared" si="7"/>
        <v>35860</v>
      </c>
    </row>
    <row r="31" spans="2:9">
      <c r="B31" s="4" t="s">
        <v>18</v>
      </c>
      <c r="C31" s="4">
        <v>34000</v>
      </c>
      <c r="D31" s="4">
        <f t="shared" si="2"/>
        <v>3400</v>
      </c>
      <c r="E31" s="4">
        <f t="shared" si="3"/>
        <v>5100</v>
      </c>
      <c r="F31" s="4">
        <f t="shared" si="4"/>
        <v>17000</v>
      </c>
      <c r="G31" s="4">
        <f t="shared" si="5"/>
        <v>59500</v>
      </c>
      <c r="H31" s="4">
        <f t="shared" si="6"/>
        <v>4080</v>
      </c>
      <c r="I31" s="4">
        <f t="shared" si="7"/>
        <v>55420</v>
      </c>
    </row>
    <row r="32" spans="2:9">
      <c r="B32" s="4" t="s">
        <v>19</v>
      </c>
      <c r="C32" s="4">
        <v>450000</v>
      </c>
      <c r="D32" s="4">
        <f t="shared" si="2"/>
        <v>45000</v>
      </c>
      <c r="E32" s="4">
        <f t="shared" si="3"/>
        <v>67500</v>
      </c>
      <c r="F32" s="4">
        <f t="shared" si="4"/>
        <v>225000</v>
      </c>
      <c r="G32" s="4">
        <f t="shared" si="5"/>
        <v>787500</v>
      </c>
      <c r="H32" s="4">
        <f t="shared" si="6"/>
        <v>54000</v>
      </c>
      <c r="I32" s="4">
        <f t="shared" si="7"/>
        <v>733500</v>
      </c>
    </row>
    <row r="35" spans="6:6">
      <c r="F35" s="10"/>
    </row>
  </sheetData>
  <mergeCells count="1">
    <mergeCell ref="A26:I26"/>
  </mergeCells>
  <pageMargins left="0.7" right="0.7" top="0.75" bottom="0.75" header="0.3" footer="0.3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D3:K23"/>
  <sheetViews>
    <sheetView topLeftCell="A7" workbookViewId="0">
      <selection activeCell="K21" sqref="K21"/>
    </sheetView>
  </sheetViews>
  <sheetFormatPr defaultColWidth="9" defaultRowHeight="15"/>
  <cols>
    <col min="4" max="4" width="16.8571428571429" customWidth="1"/>
    <col min="5" max="5" width="19.5714285714286" customWidth="1"/>
    <col min="6" max="6" width="20.1428571428571" customWidth="1"/>
    <col min="7" max="7" width="17.1428571428571" customWidth="1"/>
    <col min="8" max="8" width="17.4285714285714" customWidth="1"/>
    <col min="9" max="9" width="13.7142857142857" customWidth="1"/>
    <col min="10" max="10" width="13.1428571428571" customWidth="1"/>
    <col min="11" max="11" width="17.8571428571429" customWidth="1"/>
  </cols>
  <sheetData>
    <row r="3" spans="4:11">
      <c r="D3" s="1" t="s">
        <v>20</v>
      </c>
      <c r="E3" s="1"/>
      <c r="F3" s="1"/>
      <c r="G3" s="1"/>
      <c r="H3" s="1"/>
      <c r="I3" s="1"/>
      <c r="J3" s="1"/>
      <c r="K3" s="1"/>
    </row>
    <row r="4" spans="4:11">
      <c r="D4" s="1"/>
      <c r="E4" s="1"/>
      <c r="F4" s="1"/>
      <c r="G4" s="1"/>
      <c r="H4" s="1"/>
      <c r="I4" s="1"/>
      <c r="J4" s="1"/>
      <c r="K4" s="1"/>
    </row>
    <row r="5" ht="15.75" spans="4:11">
      <c r="D5" s="2" t="s">
        <v>7</v>
      </c>
      <c r="E5" s="2" t="s">
        <v>21</v>
      </c>
      <c r="F5" s="2" t="s">
        <v>22</v>
      </c>
      <c r="G5" s="3" t="s">
        <v>23</v>
      </c>
      <c r="H5" s="2" t="s">
        <v>24</v>
      </c>
      <c r="I5" s="2" t="s">
        <v>25</v>
      </c>
      <c r="J5" s="2" t="s">
        <v>26</v>
      </c>
      <c r="K5" s="2" t="s">
        <v>27</v>
      </c>
    </row>
    <row r="6" spans="4:11">
      <c r="D6" s="4" t="s">
        <v>28</v>
      </c>
      <c r="E6" s="4" t="s">
        <v>29</v>
      </c>
      <c r="F6" s="4">
        <v>5</v>
      </c>
      <c r="G6" s="5">
        <v>25000</v>
      </c>
      <c r="H6" s="4">
        <v>30000</v>
      </c>
      <c r="I6" s="4">
        <v>350</v>
      </c>
      <c r="J6" s="4">
        <f>IF(AND(E6=$G$23,F6&gt;=$F$23,G6&gt;=$H$23),H6*10%,H6*10%)</f>
        <v>3000</v>
      </c>
      <c r="K6" s="4"/>
    </row>
    <row r="7" spans="4:11">
      <c r="D7" s="4" t="s">
        <v>30</v>
      </c>
      <c r="E7" s="4" t="s">
        <v>31</v>
      </c>
      <c r="F7" s="4">
        <v>3</v>
      </c>
      <c r="G7" s="5">
        <v>30000</v>
      </c>
      <c r="H7" s="4">
        <v>17000</v>
      </c>
      <c r="I7" s="4">
        <v>300</v>
      </c>
      <c r="J7" s="4">
        <f t="shared" ref="J7:J12" si="0">IF(AND(E7=$G$23,F7&gt;=$F$23,G7&gt;=$H$23),H7*10%,H7*10%)</f>
        <v>1700</v>
      </c>
      <c r="K7" s="4"/>
    </row>
    <row r="8" spans="4:11">
      <c r="D8" s="4" t="s">
        <v>32</v>
      </c>
      <c r="E8" s="4" t="s">
        <v>29</v>
      </c>
      <c r="F8" s="4">
        <v>1</v>
      </c>
      <c r="G8" s="5">
        <v>35000</v>
      </c>
      <c r="H8" s="4">
        <v>30000</v>
      </c>
      <c r="I8" s="4">
        <v>250</v>
      </c>
      <c r="J8" s="4">
        <f t="shared" si="0"/>
        <v>3000</v>
      </c>
      <c r="K8" s="4"/>
    </row>
    <row r="9" spans="4:11">
      <c r="D9" s="4" t="s">
        <v>33</v>
      </c>
      <c r="E9" s="4" t="s">
        <v>29</v>
      </c>
      <c r="F9" s="4">
        <v>2</v>
      </c>
      <c r="G9" s="5">
        <v>40000</v>
      </c>
      <c r="H9" s="4">
        <v>35000</v>
      </c>
      <c r="I9" s="4">
        <v>200</v>
      </c>
      <c r="J9" s="4">
        <f t="shared" si="0"/>
        <v>3500</v>
      </c>
      <c r="K9" s="4"/>
    </row>
    <row r="10" spans="4:11">
      <c r="D10" s="4" t="s">
        <v>34</v>
      </c>
      <c r="E10" s="4" t="s">
        <v>31</v>
      </c>
      <c r="F10" s="4">
        <v>2</v>
      </c>
      <c r="G10" s="5">
        <v>15000</v>
      </c>
      <c r="H10" s="4">
        <v>19000</v>
      </c>
      <c r="I10" s="4">
        <v>150</v>
      </c>
      <c r="J10" s="4">
        <f t="shared" si="0"/>
        <v>1900</v>
      </c>
      <c r="K10" s="4"/>
    </row>
    <row r="11" spans="4:11">
      <c r="D11" s="4" t="s">
        <v>35</v>
      </c>
      <c r="E11" s="4" t="s">
        <v>31</v>
      </c>
      <c r="F11" s="4">
        <v>1</v>
      </c>
      <c r="G11" s="5">
        <v>5000</v>
      </c>
      <c r="H11" s="4">
        <v>18000</v>
      </c>
      <c r="I11" s="4">
        <v>100</v>
      </c>
      <c r="J11" s="4">
        <f t="shared" si="0"/>
        <v>1800</v>
      </c>
      <c r="K11" s="4"/>
    </row>
    <row r="12" spans="4:11">
      <c r="D12" s="4" t="s">
        <v>36</v>
      </c>
      <c r="E12" s="4" t="s">
        <v>29</v>
      </c>
      <c r="F12" s="4">
        <v>6</v>
      </c>
      <c r="G12" s="5">
        <v>4000</v>
      </c>
      <c r="H12" s="4">
        <v>46000</v>
      </c>
      <c r="I12" s="4">
        <v>50</v>
      </c>
      <c r="J12" s="4">
        <f t="shared" si="0"/>
        <v>4600</v>
      </c>
      <c r="K12" s="4"/>
    </row>
    <row r="13" spans="4:11">
      <c r="D13" s="4"/>
      <c r="E13" s="4"/>
      <c r="F13" s="4"/>
      <c r="G13" s="5"/>
      <c r="H13" s="4"/>
      <c r="I13" s="4"/>
      <c r="J13" s="4"/>
      <c r="K13" s="4"/>
    </row>
    <row r="14" spans="4:11">
      <c r="D14" s="4"/>
      <c r="E14" s="4"/>
      <c r="F14" s="4"/>
      <c r="G14" s="5"/>
      <c r="H14" s="4"/>
      <c r="I14" s="4"/>
      <c r="J14" s="4"/>
      <c r="K14" s="4"/>
    </row>
    <row r="15" spans="4:11">
      <c r="D15" s="4"/>
      <c r="E15" s="4"/>
      <c r="F15" s="4"/>
      <c r="G15" s="5"/>
      <c r="H15" s="4"/>
      <c r="I15" s="4"/>
      <c r="J15" s="4"/>
      <c r="K15" s="4"/>
    </row>
    <row r="16" spans="4:11">
      <c r="D16" s="4"/>
      <c r="E16" s="4"/>
      <c r="F16" s="4"/>
      <c r="G16" s="5"/>
      <c r="H16" s="4"/>
      <c r="I16" s="4"/>
      <c r="J16" s="4"/>
      <c r="K16" s="4"/>
    </row>
    <row r="17" spans="4:11">
      <c r="D17" s="4"/>
      <c r="E17" s="4"/>
      <c r="F17" s="4"/>
      <c r="G17" s="5"/>
      <c r="H17" s="4"/>
      <c r="I17" s="4"/>
      <c r="J17" s="4"/>
      <c r="K17" s="4"/>
    </row>
    <row r="21" spans="6:9">
      <c r="F21" s="6" t="s">
        <v>37</v>
      </c>
      <c r="G21" s="6"/>
      <c r="H21" s="6"/>
      <c r="I21" s="6"/>
    </row>
    <row r="22" spans="6:9">
      <c r="F22" s="7" t="s">
        <v>38</v>
      </c>
      <c r="G22" s="7" t="s">
        <v>39</v>
      </c>
      <c r="H22" s="7" t="s">
        <v>40</v>
      </c>
      <c r="I22" s="7" t="s">
        <v>41</v>
      </c>
    </row>
    <row r="23" spans="6:9">
      <c r="F23" s="8">
        <v>2</v>
      </c>
      <c r="G23" s="8" t="s">
        <v>42</v>
      </c>
      <c r="H23" s="8">
        <v>25000</v>
      </c>
      <c r="I23" s="9">
        <v>0.1</v>
      </c>
    </row>
  </sheetData>
  <mergeCells count="2">
    <mergeCell ref="F21:I21"/>
    <mergeCell ref="D3:K4"/>
  </mergeCells>
  <pageMargins left="0.7" right="0.7" top="0.75" bottom="0.75" header="0.3" footer="0.3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A1" sqref="A1"/>
    </sheetView>
  </sheetViews>
  <sheetFormatPr defaultColWidth="9" defaultRowHeight="1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Hasif Shek</dc:creator>
  <cp:lastModifiedBy>Hasif Shek</cp:lastModifiedBy>
  <dcterms:created xsi:type="dcterms:W3CDTF">2025-09-21T12:37:00Z</dcterms:created>
  <cp:lastPrinted>2025-09-21T14:05:00Z</cp:lastPrinted>
  <dcterms:modified xsi:type="dcterms:W3CDTF">2025-10-25T02:05:39Z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139B44D792B1437CA7FC1687507062EB_12</vt:lpwstr>
  </property>
  <property fmtid="{D5CDD505-2E9C-101B-9397-08002B2CF9AE}" pid="3" name="KSOProductBuildVer">
    <vt:lpwstr>1033-12.2.0.23131</vt:lpwstr>
  </property>
</Properties>
</file>