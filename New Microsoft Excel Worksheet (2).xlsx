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asif Shek\Desktop\"/>
    </mc:Choice>
  </mc:AlternateContent>
  <xr:revisionPtr revIDLastSave="0" documentId="13_ncr:1_{466E07D1-06D7-4394-9E8E-F0A5218D43F2}" xr6:coauthVersionLast="47" xr6:coauthVersionMax="47" xr10:uidLastSave="{00000000-0000-0000-0000-000000000000}"/>
  <bookViews>
    <workbookView minimized="1" xWindow="2655" yWindow="0" windowWidth="15375" windowHeight="7785" xr2:uid="{00000000-000D-0000-FFFF-FFFF00000000}"/>
  </bookViews>
  <sheets>
    <sheet name="Sheet1" sheetId="1" r:id="rId1"/>
    <sheet name="DADEMONTH,YEARDYNAMIC" sheetId="2" r:id="rId2"/>
    <sheet name="Sheet3" sheetId="3" r:id="rId3"/>
  </sheets>
  <definedNames>
    <definedName name="_xlnm._FilterDatabase" localSheetId="2" hidden="1">Sheet3!$D$2:$I$14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6" i="1" a="1"/>
  <c r="K6" i="1" s="1"/>
  <c r="G9" i="2"/>
  <c r="M18" i="3"/>
  <c r="L18" i="3"/>
  <c r="K3" i="3" a="1"/>
  <c r="K3" i="3" s="1"/>
  <c r="L3" i="3" a="1"/>
  <c r="L3" i="3" s="1"/>
  <c r="E12" i="2"/>
  <c r="E13" i="2"/>
  <c r="E14" i="2"/>
  <c r="E15" i="2"/>
  <c r="D12" i="2"/>
  <c r="D13" i="2"/>
  <c r="D14" i="2"/>
  <c r="D15" i="2"/>
  <c r="D4" i="2"/>
  <c r="D5" i="2"/>
  <c r="D6" i="2"/>
  <c r="D7" i="2"/>
  <c r="D8" i="2"/>
  <c r="D9" i="2"/>
  <c r="D10" i="2"/>
  <c r="D11" i="2"/>
  <c r="D3" i="2"/>
  <c r="E4" i="2"/>
  <c r="E5" i="2"/>
  <c r="E6" i="2"/>
  <c r="E7" i="2"/>
  <c r="E8" i="2"/>
  <c r="E9" i="2"/>
  <c r="E10" i="2"/>
  <c r="E11" i="2"/>
  <c r="E3" i="2"/>
  <c r="C12" i="2"/>
  <c r="C13" i="2"/>
  <c r="C14" i="2"/>
  <c r="C15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C24" i="2"/>
  <c r="D24" i="2"/>
  <c r="E24" i="2"/>
  <c r="B24" i="2"/>
  <c r="I5" i="3"/>
  <c r="H21" i="2"/>
  <c r="H20" i="2"/>
  <c r="H19" i="2"/>
  <c r="I2" i="2" a="1"/>
  <c r="I2" i="2" s="1"/>
  <c r="C5" i="2"/>
  <c r="C6" i="2"/>
  <c r="C7" i="2"/>
  <c r="C8" i="2"/>
  <c r="C9" i="2"/>
  <c r="C10" i="2"/>
  <c r="C11" i="2"/>
  <c r="C4" i="2"/>
  <c r="C3" i="2"/>
  <c r="E20" i="1" a="1"/>
  <c r="E20" i="1" s="1"/>
  <c r="K5" i="1" a="1"/>
  <c r="L5" i="1" s="1"/>
  <c r="M5" i="1" l="1"/>
  <c r="K5" i="1"/>
  <c r="N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<sst xmlns="http://schemas.openxmlformats.org/spreadsheetml/2006/main" count="76" uniqueCount="60">
  <si>
    <t xml:space="preserve">Order ID </t>
  </si>
  <si>
    <t>Seles per</t>
  </si>
  <si>
    <t>Region</t>
  </si>
  <si>
    <t xml:space="preserve">Product </t>
  </si>
  <si>
    <t>Price</t>
  </si>
  <si>
    <t>mahesh</t>
  </si>
  <si>
    <t>east</t>
  </si>
  <si>
    <t>samsung</t>
  </si>
  <si>
    <t>suresh</t>
  </si>
  <si>
    <t>north</t>
  </si>
  <si>
    <t>nokia</t>
  </si>
  <si>
    <t>anshu</t>
  </si>
  <si>
    <t>south</t>
  </si>
  <si>
    <t>oppo</t>
  </si>
  <si>
    <t>rashi</t>
  </si>
  <si>
    <t>vivo</t>
  </si>
  <si>
    <t>west</t>
  </si>
  <si>
    <t>mahima</t>
  </si>
  <si>
    <t>manoj</t>
  </si>
  <si>
    <t>mayank</t>
  </si>
  <si>
    <t>kunal</t>
  </si>
  <si>
    <t xml:space="preserve">VLOOKUP USE CASE </t>
  </si>
  <si>
    <t xml:space="preserve"> MONTH </t>
  </si>
  <si>
    <t xml:space="preserve"> YEAR</t>
  </si>
  <si>
    <t>DATE</t>
  </si>
  <si>
    <t>DAY</t>
  </si>
  <si>
    <t>"="Non."&amp;,SEQUENCE(COUNTA())</t>
  </si>
  <si>
    <t xml:space="preserve">NUMBER </t>
  </si>
  <si>
    <t xml:space="preserve">Film </t>
  </si>
  <si>
    <t xml:space="preserve">CURRENT DATE </t>
  </si>
  <si>
    <t xml:space="preserve">CURRENT TIME </t>
  </si>
  <si>
    <t>10/22/2025,"CRT + ;"</t>
  </si>
  <si>
    <t>1:58:00 PM, "CRT + SHIFT + ;"</t>
  </si>
  <si>
    <t xml:space="preserve">EMP ID: </t>
  </si>
  <si>
    <t xml:space="preserve">EMP NAME : </t>
  </si>
  <si>
    <t xml:space="preserve">DEPARTMENT : </t>
  </si>
  <si>
    <t xml:space="preserve">TITLE : </t>
  </si>
  <si>
    <t xml:space="preserve">MOBILE : </t>
  </si>
  <si>
    <t xml:space="preserve">ADDRESS : </t>
  </si>
  <si>
    <t>"@*_"</t>
  </si>
  <si>
    <t xml:space="preserve">ATTENDANCE </t>
  </si>
  <si>
    <t xml:space="preserve">NAME </t>
  </si>
  <si>
    <t xml:space="preserve">MON </t>
  </si>
  <si>
    <t>TUE</t>
  </si>
  <si>
    <t>WED</t>
  </si>
  <si>
    <t>THUS</t>
  </si>
  <si>
    <t xml:space="preserve">TOTAL </t>
  </si>
  <si>
    <t xml:space="preserve">ABID </t>
  </si>
  <si>
    <t xml:space="preserve">SAIM </t>
  </si>
  <si>
    <t xml:space="preserve">HASAN </t>
  </si>
  <si>
    <t xml:space="preserve">SALLMAN </t>
  </si>
  <si>
    <t xml:space="preserve">NAYEEM </t>
  </si>
  <si>
    <t xml:space="preserve">ABDUR ROHIM </t>
  </si>
  <si>
    <t xml:space="preserve">HRIDOY </t>
  </si>
  <si>
    <t>SAZID FOYSAL L</t>
  </si>
  <si>
    <t xml:space="preserve">HASIP </t>
  </si>
  <si>
    <t xml:space="preserve">DULAL </t>
  </si>
  <si>
    <t xml:space="preserve">                                             </t>
  </si>
  <si>
    <t xml:space="preserve">SEQUENCE TYPE DATA </t>
  </si>
  <si>
    <t>COUNTA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</si>
</sst>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@*_"/>
  </numFmts>
  <fonts count="4">
    <font>
      <sz val="11"/>
      <color theme="1"/>
      <name val="Calibri"/>
      <family val="2"/>
      <scheme val="minor"/>
    </font>
    <font>
      <sz val="11"/>
      <color theme="1"/>
      <name val="Abadi Extra Light"/>
      <family val="2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164" fontId="0" fillId="0" borderId="1" xfId="0" applyNumberFormat="1" applyBorder="1"/>
    <xf numFmtId="14" fontId="0" fillId="0" borderId="0" xfId="0" applyNumberFormat="1"/>
    <xf numFmtId="18" fontId="0" fillId="0" borderId="0" xfId="0" applyNumberFormat="1"/>
    <xf numFmtId="165" fontId="0" fillId="0" borderId="0" xfId="0" applyNumberFormat="1"/>
    <xf numFmtId="0" fontId="0" fillId="6" borderId="1" xfId="0" applyFill="1" applyBorder="1"/>
    <xf numFmtId="0" fontId="0" fillId="4" borderId="0" xfId="0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N28"/>
  <sheetViews>
    <sheetView tabSelected="1" workbookViewId="0">
      <selection activeCell="L17" sqref="L17"/>
    </sheetView>
  </sheetViews>
  <sheetFormatPr defaultRowHeight="15"/>
  <cols>
    <col min="4" max="4" width="11.7109375" customWidth="1"/>
    <col min="5" max="5" width="14.5703125" customWidth="1"/>
    <col min="6" max="6" width="19.42578125" customWidth="1"/>
    <col min="7" max="7" width="13.85546875" customWidth="1"/>
    <col min="8" max="8" width="16" customWidth="1"/>
    <col min="10" max="10" width="14.140625" customWidth="1"/>
    <col min="11" max="11" width="13" customWidth="1"/>
    <col min="12" max="13" width="12.7109375" customWidth="1"/>
    <col min="14" max="14" width="12" customWidth="1"/>
  </cols>
  <sheetData>
    <row r="2" spans="4:14">
      <c r="G2" s="10" t="s">
        <v>21</v>
      </c>
      <c r="H2" s="10"/>
      <c r="I2" s="10"/>
      <c r="J2" s="10"/>
    </row>
    <row r="4" spans="4:14">
      <c r="D4" s="4" t="s">
        <v>0</v>
      </c>
      <c r="E4" s="4" t="s">
        <v>1</v>
      </c>
      <c r="F4" s="4" t="s">
        <v>2</v>
      </c>
      <c r="G4" s="4" t="s">
        <v>3</v>
      </c>
      <c r="H4" s="4" t="s">
        <v>4</v>
      </c>
      <c r="J4" s="4" t="s">
        <v>0</v>
      </c>
      <c r="K4" s="4" t="s">
        <v>1</v>
      </c>
      <c r="L4" s="4" t="s">
        <v>3</v>
      </c>
      <c r="M4" s="4" t="s">
        <v>2</v>
      </c>
      <c r="N4" s="4" t="s">
        <v>4</v>
      </c>
    </row>
    <row r="5" spans="4:14">
      <c r="D5" s="2">
        <v>1011</v>
      </c>
      <c r="E5" s="2" t="s">
        <v>5</v>
      </c>
      <c r="F5" s="2" t="s">
        <v>6</v>
      </c>
      <c r="G5" s="2" t="s">
        <v>7</v>
      </c>
      <c r="H5" s="2">
        <v>5699</v>
      </c>
      <c r="J5">
        <v>1022</v>
      </c>
      <c r="K5" t="str">
        <f t="array" ref="K5:N5">VLOOKUP(J5,$D$5:$H$13,{2,4,3,5},FALSE)</f>
        <v>suresh</v>
      </c>
      <c r="L5" t="str">
        <v>nokia</v>
      </c>
      <c r="M5" t="str">
        <v>north</v>
      </c>
      <c r="N5">
        <v>3344</v>
      </c>
    </row>
    <row r="6" spans="4:14">
      <c r="D6" s="2">
        <v>1022</v>
      </c>
      <c r="E6" s="2" t="s">
        <v>8</v>
      </c>
      <c r="F6" s="2" t="s">
        <v>9</v>
      </c>
      <c r="G6" s="2" t="s">
        <v>10</v>
      </c>
      <c r="H6" s="2">
        <v>3344</v>
      </c>
      <c r="J6">
        <v>1033</v>
      </c>
      <c r="K6" t="str" cm="1">
        <f t="array" ref="K6:N6">VLOOKUP(J6,$D$5:$H$13,{2,4,3,5},FALSE)</f>
        <v>anshu</v>
      </c>
      <c r="L6" t="str">
        <v>oppo</v>
      </c>
      <c r="M6" t="str">
        <v>south</v>
      </c>
      <c r="N6">
        <v>5555</v>
      </c>
    </row>
    <row r="7" spans="4:14">
      <c r="D7" s="2">
        <v>1033</v>
      </c>
      <c r="E7" s="2" t="s">
        <v>11</v>
      </c>
      <c r="F7" s="2" t="s">
        <v>12</v>
      </c>
      <c r="G7" s="2" t="s">
        <v>13</v>
      </c>
      <c r="H7" s="2">
        <v>5555</v>
      </c>
      <c r="J7" s="2">
        <v>1011</v>
      </c>
      <c r="K7" t="str" cm="1">
        <f t="array" ref="K7:N7">VLOOKUP(J7,$D$5:$H$13,{2,4,3,5},FALSE)</f>
        <v>mahesh</v>
      </c>
      <c r="L7" t="str">
        <v>samsung</v>
      </c>
      <c r="M7" t="str">
        <v>east</v>
      </c>
      <c r="N7">
        <v>5699</v>
      </c>
    </row>
    <row r="8" spans="4:14">
      <c r="D8" s="2">
        <v>1044</v>
      </c>
      <c r="E8" s="2" t="s">
        <v>14</v>
      </c>
      <c r="F8" s="2" t="s">
        <v>6</v>
      </c>
      <c r="G8" s="2" t="s">
        <v>15</v>
      </c>
      <c r="H8" s="2">
        <v>6666</v>
      </c>
      <c r="J8" s="2">
        <v>1022</v>
      </c>
      <c r="K8" t="str" cm="1">
        <f t="array" ref="K8:N8">VLOOKUP(J8,$D$5:$H$13,{2,4,3,5},FALSE)</f>
        <v>suresh</v>
      </c>
      <c r="L8" t="str">
        <v>nokia</v>
      </c>
      <c r="M8" t="str">
        <v>north</v>
      </c>
      <c r="N8">
        <v>3344</v>
      </c>
    </row>
    <row r="9" spans="4:14">
      <c r="D9" s="3">
        <v>1019</v>
      </c>
      <c r="E9" s="3" t="s">
        <v>8</v>
      </c>
      <c r="F9" s="3" t="s">
        <v>16</v>
      </c>
      <c r="G9" s="2" t="s">
        <v>7</v>
      </c>
      <c r="H9" s="2">
        <v>7677</v>
      </c>
      <c r="J9" s="2">
        <v>1033</v>
      </c>
      <c r="K9" t="str" cm="1">
        <f t="array" ref="K9:N9">VLOOKUP(J9,$D$5:$H$13,{2,4,3,5},FALSE)</f>
        <v>anshu</v>
      </c>
      <c r="L9" t="str">
        <v>oppo</v>
      </c>
      <c r="M9" t="str">
        <v>south</v>
      </c>
      <c r="N9">
        <v>5555</v>
      </c>
    </row>
    <row r="10" spans="4:14">
      <c r="D10" s="2">
        <v>101</v>
      </c>
      <c r="E10" s="2" t="s">
        <v>17</v>
      </c>
      <c r="F10" s="2" t="s">
        <v>9</v>
      </c>
      <c r="G10" s="2" t="s">
        <v>10</v>
      </c>
      <c r="H10" s="2">
        <v>5655</v>
      </c>
      <c r="J10" s="2">
        <v>1044</v>
      </c>
      <c r="K10" t="str" cm="1">
        <f t="array" ref="K10:N10">VLOOKUP(J10,$D$5:$H$13,{2,4,3,5},FALSE)</f>
        <v>rashi</v>
      </c>
      <c r="L10" t="str">
        <v>vivo</v>
      </c>
      <c r="M10" t="str">
        <v>east</v>
      </c>
      <c r="N10">
        <v>6666</v>
      </c>
    </row>
    <row r="11" spans="4:14">
      <c r="D11" s="2">
        <v>105</v>
      </c>
      <c r="E11" s="2" t="s">
        <v>18</v>
      </c>
      <c r="F11" s="2" t="s">
        <v>6</v>
      </c>
      <c r="G11" s="2" t="s">
        <v>10</v>
      </c>
      <c r="H11" s="2">
        <v>3553</v>
      </c>
      <c r="J11" s="3">
        <v>1019</v>
      </c>
      <c r="K11" t="str" cm="1">
        <f t="array" ref="K11:N11">VLOOKUP(J11,$D$5:$H$13,{2,4,3,5},FALSE)</f>
        <v>suresh</v>
      </c>
      <c r="L11" t="str">
        <v>samsung</v>
      </c>
      <c r="M11" t="str">
        <v>west</v>
      </c>
      <c r="N11">
        <v>7677</v>
      </c>
    </row>
    <row r="12" spans="4:14">
      <c r="D12" s="2">
        <v>1010</v>
      </c>
      <c r="E12" s="2" t="s">
        <v>19</v>
      </c>
      <c r="F12" s="2" t="s">
        <v>9</v>
      </c>
      <c r="G12" s="2" t="s">
        <v>13</v>
      </c>
      <c r="H12" s="2">
        <v>4545</v>
      </c>
      <c r="J12" s="2">
        <v>101</v>
      </c>
      <c r="K12" t="str" cm="1">
        <f t="array" ref="K12:N12">VLOOKUP(J12,$D$5:$H$13,{2,4,3,5},FALSE)</f>
        <v>mahima</v>
      </c>
      <c r="L12" t="str">
        <v>nokia</v>
      </c>
      <c r="M12" t="str">
        <v>north</v>
      </c>
      <c r="N12">
        <v>5655</v>
      </c>
    </row>
    <row r="13" spans="4:14">
      <c r="D13" s="2">
        <v>1067</v>
      </c>
      <c r="E13" s="2" t="s">
        <v>20</v>
      </c>
      <c r="F13" s="2" t="s">
        <v>12</v>
      </c>
      <c r="G13" s="2" t="s">
        <v>7</v>
      </c>
      <c r="H13" s="2">
        <v>7575</v>
      </c>
      <c r="J13" s="2">
        <v>105</v>
      </c>
      <c r="K13" t="str" cm="1">
        <f t="array" ref="K13:N13">VLOOKUP(J13,$D$5:$H$13,{2,4,3,5},FALSE)</f>
        <v>manoj</v>
      </c>
      <c r="L13" t="str">
        <v>nokia</v>
      </c>
      <c r="M13" t="str">
        <v>east</v>
      </c>
      <c r="N13">
        <v>3553</v>
      </c>
    </row>
    <row r="14" spans="4:14">
      <c r="D14" s="1"/>
      <c r="E14" s="1"/>
      <c r="F14" s="1"/>
      <c r="G14" s="1"/>
      <c r="H14" s="1"/>
      <c r="J14" s="2">
        <v>1010</v>
      </c>
      <c r="K14" t="str" cm="1">
        <f t="array" ref="K14:N14">VLOOKUP(J14,$D$5:$H$13,{2,4,3,5},FALSE)</f>
        <v>mayank</v>
      </c>
      <c r="L14" t="str">
        <v>oppo</v>
      </c>
      <c r="M14" t="str">
        <v>north</v>
      </c>
      <c r="N14">
        <v>4545</v>
      </c>
    </row>
    <row r="15" spans="4:14">
      <c r="D15" s="1"/>
      <c r="E15" s="1"/>
      <c r="F15" s="1"/>
      <c r="G15" s="1"/>
      <c r="H15" s="1"/>
      <c r="J15" s="2">
        <v>1067</v>
      </c>
      <c r="K15" t="str" cm="1">
        <f t="array" ref="K15:N15">VLOOKUP(J15,$D$5:$H$13,{2,4,3,5},FALSE)</f>
        <v>kunal</v>
      </c>
      <c r="L15" t="str">
        <v>samsung</v>
      </c>
      <c r="M15" t="str">
        <v>south</v>
      </c>
      <c r="N15">
        <v>7575</v>
      </c>
    </row>
    <row r="20" spans="5:5">
      <c r="E20" t="str" cm="1">
        <f t="array" ref="E20:E28">INDEX(E5:E13,)</f>
        <v>mahesh</v>
      </c>
    </row>
    <row r="21" spans="5:5">
      <c r="E21" t="str">
        <v>suresh</v>
      </c>
    </row>
    <row r="22" spans="5:5">
      <c r="E22" t="str">
        <v>anshu</v>
      </c>
    </row>
    <row r="23" spans="5:5">
      <c r="E23" t="str">
        <v>rashi</v>
      </c>
    </row>
    <row r="24" spans="5:5">
      <c r="E24" t="str">
        <v>suresh</v>
      </c>
    </row>
    <row r="25" spans="5:5">
      <c r="E25" t="str">
        <v>mahima</v>
      </c>
    </row>
    <row r="26" spans="5:5">
      <c r="E26" t="str">
        <v>manoj</v>
      </c>
    </row>
    <row r="27" spans="5:5">
      <c r="E27" t="str">
        <v>mayank</v>
      </c>
    </row>
    <row r="28" spans="5:5">
      <c r="E28" t="str">
        <v>kunal</v>
      </c>
    </row>
  </sheetData>
  <mergeCells count="1"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0589-7BAC-41FD-8FBD-B98EBA754DBD}">
  <dimension ref="B1:J30"/>
  <sheetViews>
    <sheetView topLeftCell="B1" workbookViewId="0">
      <selection activeCell="G12" sqref="G12"/>
    </sheetView>
  </sheetViews>
  <sheetFormatPr defaultRowHeight="15"/>
  <cols>
    <col min="2" max="2" width="21.42578125" customWidth="1"/>
    <col min="3" max="3" width="12" customWidth="1"/>
    <col min="4" max="4" width="10.85546875" customWidth="1"/>
    <col min="5" max="5" width="10" customWidth="1"/>
    <col min="7" max="7" width="14.7109375" customWidth="1"/>
    <col min="8" max="8" width="42" customWidth="1"/>
    <col min="9" max="9" width="13.140625" customWidth="1"/>
    <col min="12" max="12" width="12" customWidth="1"/>
  </cols>
  <sheetData>
    <row r="1" spans="2:10">
      <c r="I1" t="s">
        <v>27</v>
      </c>
      <c r="J1" t="s">
        <v>28</v>
      </c>
    </row>
    <row r="2" spans="2:10">
      <c r="B2" s="4" t="s">
        <v>24</v>
      </c>
      <c r="C2" s="4" t="s">
        <v>25</v>
      </c>
      <c r="D2" s="4" t="s">
        <v>22</v>
      </c>
      <c r="E2" s="4" t="s">
        <v>23</v>
      </c>
      <c r="I2" t="str" cm="1">
        <f t="array" ref="I2:I16">"No."&amp;_xlfn.SEQUENCE(COUNTA(J:J))</f>
        <v>No.1</v>
      </c>
      <c r="J2">
        <v>4</v>
      </c>
    </row>
    <row r="3" spans="2:10">
      <c r="B3" s="5">
        <v>45940</v>
      </c>
      <c r="C3" s="1" t="str">
        <f>TEXT(B3:B11,"dddd")</f>
        <v>Friday</v>
      </c>
      <c r="D3" s="1" t="str">
        <f>TEXT(B:B,"mmmm")</f>
        <v>October</v>
      </c>
      <c r="E3" s="1" t="str">
        <f>TEXT(B:B,"yyyy")</f>
        <v>2025</v>
      </c>
      <c r="H3" t="s">
        <v>26</v>
      </c>
      <c r="I3" t="str">
        <v>No.2</v>
      </c>
      <c r="J3">
        <v>4</v>
      </c>
    </row>
    <row r="4" spans="2:10">
      <c r="B4" s="5">
        <v>45941</v>
      </c>
      <c r="C4" s="1" t="str">
        <f>TEXT(B4:B12,"dddd")</f>
        <v>Saturday</v>
      </c>
      <c r="D4" s="1" t="str">
        <f t="shared" ref="D4:D15" si="0">TEXT(B:B,"mmmm")</f>
        <v>October</v>
      </c>
      <c r="E4" s="1" t="str">
        <f t="shared" ref="E4:E15" si="1">TEXT(B:B,"yyyy")</f>
        <v>2025</v>
      </c>
      <c r="I4" t="str">
        <v>No.3</v>
      </c>
      <c r="J4">
        <v>4</v>
      </c>
    </row>
    <row r="5" spans="2:10">
      <c r="B5" s="5">
        <v>45942</v>
      </c>
      <c r="C5" s="1" t="str">
        <f t="shared" ref="C5:C15" si="2">TEXT(B5:B13,"dddd")</f>
        <v>Sunday</v>
      </c>
      <c r="D5" s="1" t="str">
        <f t="shared" si="0"/>
        <v>October</v>
      </c>
      <c r="E5" s="1" t="str">
        <f t="shared" si="1"/>
        <v>2025</v>
      </c>
      <c r="I5" t="str">
        <v>No.4</v>
      </c>
      <c r="J5">
        <v>4</v>
      </c>
    </row>
    <row r="6" spans="2:10">
      <c r="B6" s="5">
        <v>45943</v>
      </c>
      <c r="C6" s="1" t="str">
        <f t="shared" si="2"/>
        <v>Monday</v>
      </c>
      <c r="D6" s="1" t="str">
        <f t="shared" si="0"/>
        <v>October</v>
      </c>
      <c r="E6" s="1" t="str">
        <f t="shared" si="1"/>
        <v>2025</v>
      </c>
      <c r="I6" t="str">
        <v>No.5</v>
      </c>
    </row>
    <row r="7" spans="2:10">
      <c r="B7" s="5">
        <v>45944</v>
      </c>
      <c r="C7" s="1" t="str">
        <f t="shared" si="2"/>
        <v>Tuesday</v>
      </c>
      <c r="D7" s="1" t="str">
        <f t="shared" si="0"/>
        <v>October</v>
      </c>
      <c r="E7" s="1" t="str">
        <f t="shared" si="1"/>
        <v>2025</v>
      </c>
      <c r="I7" t="str">
        <v>No.6</v>
      </c>
      <c r="J7">
        <v>44</v>
      </c>
    </row>
    <row r="8" spans="2:10">
      <c r="B8" s="5">
        <v>45945</v>
      </c>
      <c r="C8" s="1" t="str">
        <f t="shared" si="2"/>
        <v>Wednesday</v>
      </c>
      <c r="D8" s="1" t="str">
        <f t="shared" si="0"/>
        <v>October</v>
      </c>
      <c r="E8" s="1" t="str">
        <f t="shared" si="1"/>
        <v>2025</v>
      </c>
      <c r="I8" t="str">
        <v>No.7</v>
      </c>
      <c r="J8">
        <v>4</v>
      </c>
    </row>
    <row r="9" spans="2:10">
      <c r="B9" s="5">
        <v>45946</v>
      </c>
      <c r="C9" s="1" t="str">
        <f t="shared" si="2"/>
        <v>Thursday</v>
      </c>
      <c r="D9" s="1" t="str">
        <f t="shared" si="0"/>
        <v>October</v>
      </c>
      <c r="E9" s="1" t="str">
        <f t="shared" si="1"/>
        <v>2025</v>
      </c>
      <c r="G9" t="b">
        <f>ISTEXT(B4)</f>
        <v>0</v>
      </c>
      <c r="I9" t="str">
        <v>No.8</v>
      </c>
      <c r="J9">
        <v>44</v>
      </c>
    </row>
    <row r="10" spans="2:10">
      <c r="B10" s="5">
        <v>45947</v>
      </c>
      <c r="C10" s="1" t="str">
        <f t="shared" si="2"/>
        <v>Friday</v>
      </c>
      <c r="D10" s="1" t="str">
        <f t="shared" si="0"/>
        <v>October</v>
      </c>
      <c r="E10" s="1" t="str">
        <f t="shared" si="1"/>
        <v>2025</v>
      </c>
      <c r="I10" t="str">
        <v>No.9</v>
      </c>
      <c r="J10">
        <v>3</v>
      </c>
    </row>
    <row r="11" spans="2:10">
      <c r="B11" s="5">
        <v>45948</v>
      </c>
      <c r="C11" s="1" t="str">
        <f t="shared" si="2"/>
        <v>Saturday</v>
      </c>
      <c r="D11" s="1" t="str">
        <f t="shared" si="0"/>
        <v>October</v>
      </c>
      <c r="E11" s="1" t="str">
        <f t="shared" si="1"/>
        <v>2025</v>
      </c>
      <c r="I11" t="str">
        <v>No.10</v>
      </c>
      <c r="J11">
        <v>4</v>
      </c>
    </row>
    <row r="12" spans="2:10">
      <c r="B12" s="5">
        <v>45949</v>
      </c>
      <c r="C12" s="1" t="str">
        <f t="shared" si="2"/>
        <v>Sunday</v>
      </c>
      <c r="D12" s="1" t="str">
        <f>TEXT(B:B,"mmmm")</f>
        <v>October</v>
      </c>
      <c r="E12" s="1" t="str">
        <f>TEXT(B:B,"yyyy")</f>
        <v>2025</v>
      </c>
      <c r="I12" t="str">
        <v>No.11</v>
      </c>
      <c r="J12">
        <v>4</v>
      </c>
    </row>
    <row r="13" spans="2:10">
      <c r="B13" s="5">
        <v>45950</v>
      </c>
      <c r="C13" s="1" t="str">
        <f t="shared" si="2"/>
        <v>Monday</v>
      </c>
      <c r="D13" s="1" t="str">
        <f t="shared" si="0"/>
        <v>October</v>
      </c>
      <c r="E13" s="1" t="str">
        <f t="shared" si="1"/>
        <v>2025</v>
      </c>
      <c r="I13" t="str">
        <v>No.12</v>
      </c>
      <c r="J13">
        <v>4</v>
      </c>
    </row>
    <row r="14" spans="2:10">
      <c r="B14" s="5">
        <v>45951</v>
      </c>
      <c r="C14" s="1" t="str">
        <f t="shared" si="2"/>
        <v>Tuesday</v>
      </c>
      <c r="D14" s="1" t="str">
        <f t="shared" si="0"/>
        <v>October</v>
      </c>
      <c r="E14" s="1" t="str">
        <f t="shared" si="1"/>
        <v>2025</v>
      </c>
      <c r="G14" t="s">
        <v>29</v>
      </c>
      <c r="H14" s="6" t="s">
        <v>31</v>
      </c>
      <c r="I14" t="str">
        <v>No.13</v>
      </c>
      <c r="J14">
        <v>6</v>
      </c>
    </row>
    <row r="15" spans="2:10">
      <c r="B15" s="5">
        <v>45952</v>
      </c>
      <c r="C15" s="1" t="str">
        <f t="shared" si="2"/>
        <v>Wednesday</v>
      </c>
      <c r="D15" s="1" t="str">
        <f t="shared" si="0"/>
        <v>October</v>
      </c>
      <c r="E15" s="1" t="str">
        <f t="shared" si="1"/>
        <v>2025</v>
      </c>
      <c r="G15" t="s">
        <v>30</v>
      </c>
      <c r="H15" s="7" t="s">
        <v>32</v>
      </c>
      <c r="I15" t="str">
        <v>No.14</v>
      </c>
      <c r="J15">
        <v>23</v>
      </c>
    </row>
    <row r="16" spans="2:10">
      <c r="B16" s="1"/>
      <c r="C16" s="1"/>
      <c r="D16" s="1"/>
      <c r="E16" s="1"/>
      <c r="I16" t="str">
        <v>No.15</v>
      </c>
      <c r="J16">
        <v>7</v>
      </c>
    </row>
    <row r="18" spans="2:8">
      <c r="B18">
        <f t="shared" ref="B18:E23" ca="1" si="3">RANDBETWEEN(1000,100000)</f>
        <v>67999</v>
      </c>
      <c r="C18">
        <f t="shared" ca="1" si="3"/>
        <v>75990</v>
      </c>
      <c r="D18">
        <f t="shared" ca="1" si="3"/>
        <v>54286</v>
      </c>
      <c r="E18">
        <f t="shared" ca="1" si="3"/>
        <v>19127</v>
      </c>
    </row>
    <row r="19" spans="2:8">
      <c r="B19">
        <f t="shared" ca="1" si="3"/>
        <v>54380</v>
      </c>
      <c r="C19">
        <f t="shared" ca="1" si="3"/>
        <v>15401</v>
      </c>
      <c r="D19">
        <f t="shared" ca="1" si="3"/>
        <v>78627</v>
      </c>
      <c r="E19">
        <f t="shared" ca="1" si="3"/>
        <v>73051</v>
      </c>
      <c r="H19" t="b">
        <f>ISTEXT("Mango")</f>
        <v>1</v>
      </c>
    </row>
    <row r="20" spans="2:8">
      <c r="B20">
        <f t="shared" ca="1" si="3"/>
        <v>69446</v>
      </c>
      <c r="C20">
        <f t="shared" ca="1" si="3"/>
        <v>71771</v>
      </c>
      <c r="D20">
        <f t="shared" ca="1" si="3"/>
        <v>6796</v>
      </c>
      <c r="E20">
        <f t="shared" ca="1" si="3"/>
        <v>57664</v>
      </c>
      <c r="H20" t="b">
        <f>ISNUMBER(J11)</f>
        <v>1</v>
      </c>
    </row>
    <row r="21" spans="2:8">
      <c r="B21">
        <f t="shared" ca="1" si="3"/>
        <v>70105</v>
      </c>
      <c r="C21">
        <f t="shared" ca="1" si="3"/>
        <v>40465</v>
      </c>
      <c r="D21">
        <f t="shared" ca="1" si="3"/>
        <v>29745</v>
      </c>
      <c r="E21">
        <f t="shared" ca="1" si="3"/>
        <v>20112</v>
      </c>
      <c r="H21" t="b">
        <f>ISLOGICAL(I16)</f>
        <v>0</v>
      </c>
    </row>
    <row r="22" spans="2:8">
      <c r="B22">
        <f t="shared" ca="1" si="3"/>
        <v>18414</v>
      </c>
      <c r="C22">
        <f t="shared" ca="1" si="3"/>
        <v>18824</v>
      </c>
      <c r="D22">
        <f t="shared" ca="1" si="3"/>
        <v>91530</v>
      </c>
      <c r="E22">
        <f t="shared" ca="1" si="3"/>
        <v>45011</v>
      </c>
    </row>
    <row r="23" spans="2:8">
      <c r="B23">
        <f t="shared" ca="1" si="3"/>
        <v>37740</v>
      </c>
      <c r="C23">
        <f t="shared" ca="1" si="3"/>
        <v>52523</v>
      </c>
      <c r="D23">
        <f t="shared" ca="1" si="3"/>
        <v>61506</v>
      </c>
      <c r="E23">
        <f t="shared" ca="1" si="3"/>
        <v>46947</v>
      </c>
    </row>
    <row r="24" spans="2:8">
      <c r="B24">
        <f ca="1">RANDBETWEEN(1000,100000)</f>
        <v>89740</v>
      </c>
      <c r="C24">
        <f t="shared" ref="C24:E24" ca="1" si="4">RANDBETWEEN(1000,100000)</f>
        <v>44020</v>
      </c>
      <c r="D24">
        <f t="shared" ca="1" si="4"/>
        <v>93835</v>
      </c>
      <c r="E24">
        <f t="shared" ca="1" si="4"/>
        <v>87051</v>
      </c>
      <c r="H24" s="8" t="s">
        <v>33</v>
      </c>
    </row>
    <row r="25" spans="2:8">
      <c r="H25" s="8" t="s">
        <v>34</v>
      </c>
    </row>
    <row r="26" spans="2:8">
      <c r="H26" s="8" t="s">
        <v>35</v>
      </c>
    </row>
    <row r="27" spans="2:8">
      <c r="H27" s="8" t="s">
        <v>36</v>
      </c>
    </row>
    <row r="28" spans="2:8">
      <c r="H28" s="8" t="s">
        <v>37</v>
      </c>
    </row>
    <row r="29" spans="2:8">
      <c r="H29" s="8" t="s">
        <v>38</v>
      </c>
    </row>
    <row r="30" spans="2:8">
      <c r="H30" s="8" t="s">
        <v>39</v>
      </c>
    </row>
  </sheetData>
  <phoneticPr fontId="3" type="noConversion"/>
  <pageMargins left="0.7" right="0.7" top="0.75" bottom="0.75" header="0.3" footer="0.3"/>
  <ignoredErrors>
    <ignoredError sqref="C10:C11 C4:C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7429-C5D7-49AB-8BBA-CDAC859B099F}">
  <dimension ref="D2:U18"/>
  <sheetViews>
    <sheetView workbookViewId="0">
      <selection activeCell="D6" sqref="D6"/>
    </sheetView>
  </sheetViews>
  <sheetFormatPr defaultRowHeight="15"/>
  <cols>
    <col min="4" max="4" width="15.5703125" customWidth="1"/>
    <col min="5" max="5" width="10" customWidth="1"/>
    <col min="6" max="6" width="9.7109375" customWidth="1"/>
    <col min="12" max="12" width="12.140625" customWidth="1"/>
    <col min="13" max="13" width="10.7109375" customWidth="1"/>
    <col min="14" max="14" width="10.5703125" customWidth="1"/>
  </cols>
  <sheetData>
    <row r="2" spans="4:21">
      <c r="D2" s="11" t="s">
        <v>40</v>
      </c>
      <c r="E2" s="11"/>
      <c r="F2" s="11"/>
      <c r="G2" s="11"/>
      <c r="H2" s="11"/>
      <c r="I2" s="11"/>
      <c r="L2" s="12" t="s">
        <v>58</v>
      </c>
      <c r="M2" s="12"/>
      <c r="N2" s="12"/>
    </row>
    <row r="3" spans="4:21">
      <c r="D3" s="11"/>
      <c r="E3" s="11"/>
      <c r="F3" s="11"/>
      <c r="G3" s="11"/>
      <c r="H3" s="11"/>
      <c r="I3" s="11"/>
      <c r="K3" cm="1">
        <f t="array" ref="K3:K12">_xlfn.SEQUENCE(10)</f>
        <v>1</v>
      </c>
      <c r="L3" cm="1">
        <f t="array" ref="L3:U12">_xlfn.SEQUENCE(10,10)</f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9</v>
      </c>
      <c r="U3">
        <v>10</v>
      </c>
    </row>
    <row r="4" spans="4:21"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K4">
        <v>2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</row>
    <row r="5" spans="4:21">
      <c r="D5" s="1" t="s">
        <v>47</v>
      </c>
      <c r="E5" s="13">
        <v>1</v>
      </c>
      <c r="F5" s="13">
        <v>0</v>
      </c>
      <c r="G5" s="13">
        <v>1</v>
      </c>
      <c r="H5" s="14">
        <v>1</v>
      </c>
      <c r="I5" s="1">
        <f>SUM(E5:H5)</f>
        <v>3</v>
      </c>
      <c r="K5">
        <v>3</v>
      </c>
      <c r="L5">
        <v>21</v>
      </c>
      <c r="M5">
        <v>22</v>
      </c>
      <c r="N5">
        <v>23</v>
      </c>
      <c r="O5">
        <v>24</v>
      </c>
      <c r="P5">
        <v>25</v>
      </c>
      <c r="Q5">
        <v>26</v>
      </c>
      <c r="R5">
        <v>27</v>
      </c>
      <c r="S5">
        <v>28</v>
      </c>
      <c r="T5">
        <v>29</v>
      </c>
      <c r="U5">
        <v>30</v>
      </c>
    </row>
    <row r="6" spans="4:21">
      <c r="D6" s="1" t="s">
        <v>48</v>
      </c>
      <c r="E6" s="13">
        <v>0</v>
      </c>
      <c r="F6" s="13">
        <v>1</v>
      </c>
      <c r="G6" s="13">
        <v>2</v>
      </c>
      <c r="H6" s="13">
        <v>1</v>
      </c>
      <c r="I6" s="1"/>
      <c r="K6">
        <v>4</v>
      </c>
      <c r="L6">
        <v>31</v>
      </c>
      <c r="M6">
        <v>32</v>
      </c>
      <c r="N6">
        <v>33</v>
      </c>
      <c r="O6">
        <v>34</v>
      </c>
      <c r="P6">
        <v>35</v>
      </c>
      <c r="Q6">
        <v>36</v>
      </c>
      <c r="R6">
        <v>37</v>
      </c>
      <c r="S6">
        <v>38</v>
      </c>
      <c r="T6">
        <v>39</v>
      </c>
      <c r="U6">
        <v>40</v>
      </c>
    </row>
    <row r="7" spans="4:21">
      <c r="D7" s="1" t="s">
        <v>49</v>
      </c>
      <c r="E7" s="13"/>
      <c r="F7" s="13">
        <v>1</v>
      </c>
      <c r="G7" s="13"/>
      <c r="H7" s="13"/>
      <c r="I7" s="1"/>
      <c r="K7">
        <v>5</v>
      </c>
      <c r="L7">
        <v>41</v>
      </c>
      <c r="M7">
        <v>42</v>
      </c>
      <c r="N7">
        <v>43</v>
      </c>
      <c r="O7">
        <v>44</v>
      </c>
      <c r="P7">
        <v>45</v>
      </c>
      <c r="Q7">
        <v>46</v>
      </c>
      <c r="R7">
        <v>47</v>
      </c>
      <c r="S7">
        <v>48</v>
      </c>
      <c r="T7">
        <v>49</v>
      </c>
      <c r="U7">
        <v>50</v>
      </c>
    </row>
    <row r="8" spans="4:21">
      <c r="D8" s="1" t="s">
        <v>50</v>
      </c>
      <c r="E8" s="13"/>
      <c r="F8" s="13"/>
      <c r="G8" s="13"/>
      <c r="H8" s="13"/>
      <c r="I8" s="1"/>
      <c r="K8">
        <v>6</v>
      </c>
      <c r="L8">
        <v>51</v>
      </c>
      <c r="M8">
        <v>52</v>
      </c>
      <c r="N8">
        <v>53</v>
      </c>
      <c r="O8">
        <v>54</v>
      </c>
      <c r="P8">
        <v>55</v>
      </c>
      <c r="Q8">
        <v>56</v>
      </c>
      <c r="R8">
        <v>57</v>
      </c>
      <c r="S8">
        <v>58</v>
      </c>
      <c r="T8">
        <v>59</v>
      </c>
      <c r="U8">
        <v>60</v>
      </c>
    </row>
    <row r="9" spans="4:21">
      <c r="D9" s="1" t="s">
        <v>51</v>
      </c>
      <c r="E9" s="13"/>
      <c r="F9" s="13"/>
      <c r="G9" s="13"/>
      <c r="H9" s="13" t="s">
        <v>57</v>
      </c>
      <c r="I9" s="1"/>
      <c r="K9">
        <v>7</v>
      </c>
      <c r="L9">
        <v>61</v>
      </c>
      <c r="M9">
        <v>62</v>
      </c>
      <c r="N9">
        <v>63</v>
      </c>
      <c r="O9">
        <v>64</v>
      </c>
      <c r="P9">
        <v>65</v>
      </c>
      <c r="Q9">
        <v>66</v>
      </c>
      <c r="R9">
        <v>67</v>
      </c>
      <c r="S9">
        <v>68</v>
      </c>
      <c r="T9">
        <v>69</v>
      </c>
      <c r="U9">
        <v>70</v>
      </c>
    </row>
    <row r="10" spans="4:21">
      <c r="D10" s="1" t="s">
        <v>52</v>
      </c>
      <c r="E10" s="13"/>
      <c r="F10" s="13"/>
      <c r="G10" s="13">
        <v>1</v>
      </c>
      <c r="H10" s="13"/>
      <c r="I10" s="1"/>
      <c r="K10">
        <v>8</v>
      </c>
      <c r="L10">
        <v>71</v>
      </c>
      <c r="M10">
        <v>72</v>
      </c>
      <c r="N10">
        <v>73</v>
      </c>
      <c r="O10">
        <v>74</v>
      </c>
      <c r="P10">
        <v>75</v>
      </c>
      <c r="Q10">
        <v>76</v>
      </c>
      <c r="R10">
        <v>77</v>
      </c>
      <c r="S10">
        <v>78</v>
      </c>
      <c r="T10">
        <v>79</v>
      </c>
      <c r="U10">
        <v>80</v>
      </c>
    </row>
    <row r="11" spans="4:21">
      <c r="D11" s="1" t="s">
        <v>53</v>
      </c>
      <c r="E11" s="13"/>
      <c r="F11" s="13"/>
      <c r="G11" s="13"/>
      <c r="H11" s="13"/>
      <c r="I11" s="1"/>
      <c r="K11">
        <v>9</v>
      </c>
      <c r="L11">
        <v>81</v>
      </c>
      <c r="M11">
        <v>82</v>
      </c>
      <c r="N11">
        <v>83</v>
      </c>
      <c r="O11">
        <v>84</v>
      </c>
      <c r="P11">
        <v>85</v>
      </c>
      <c r="Q11">
        <v>86</v>
      </c>
      <c r="R11">
        <v>87</v>
      </c>
      <c r="S11">
        <v>88</v>
      </c>
      <c r="T11">
        <v>89</v>
      </c>
      <c r="U11">
        <v>90</v>
      </c>
    </row>
    <row r="12" spans="4:21">
      <c r="D12" s="1" t="s">
        <v>54</v>
      </c>
      <c r="E12" s="13"/>
      <c r="F12" s="13"/>
      <c r="G12" s="13"/>
      <c r="H12" s="13"/>
      <c r="I12" s="1"/>
      <c r="K12">
        <v>10</v>
      </c>
      <c r="L12">
        <v>91</v>
      </c>
      <c r="M12">
        <v>92</v>
      </c>
      <c r="N12">
        <v>93</v>
      </c>
      <c r="O12">
        <v>94</v>
      </c>
      <c r="P12">
        <v>95</v>
      </c>
      <c r="Q12">
        <v>96</v>
      </c>
      <c r="R12">
        <v>97</v>
      </c>
      <c r="S12">
        <v>98</v>
      </c>
      <c r="T12">
        <v>99</v>
      </c>
      <c r="U12">
        <v>100</v>
      </c>
    </row>
    <row r="13" spans="4:21">
      <c r="D13" s="1" t="s">
        <v>55</v>
      </c>
      <c r="E13" s="13"/>
      <c r="F13" s="13"/>
      <c r="G13" s="13"/>
      <c r="H13" s="13"/>
      <c r="I13" s="1"/>
    </row>
    <row r="14" spans="4:21">
      <c r="D14" s="1" t="s">
        <v>56</v>
      </c>
      <c r="E14" s="13"/>
      <c r="F14" s="13"/>
      <c r="G14" s="13"/>
      <c r="H14" s="13"/>
      <c r="I14" s="1"/>
    </row>
    <row r="16" spans="4:21">
      <c r="L16" s="12" t="s">
        <v>59</v>
      </c>
      <c r="M16" s="12"/>
      <c r="N16" s="12"/>
    </row>
    <row r="18" spans="12:13">
      <c r="L18">
        <f>COUNTA($D$5:$D$14)</f>
        <v>10</v>
      </c>
      <c r="M18">
        <f>COUNTA(D5:I5)</f>
        <v>6</v>
      </c>
    </row>
  </sheetData>
  <autoFilter ref="D2:I14" xr:uid="{9E677429-C5D7-49AB-8BBA-CDAC859B099F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D2:I3"/>
    <mergeCell ref="L2:N2"/>
    <mergeCell ref="L16:N16"/>
  </mergeCells>
  <conditionalFormatting sqref="E5:H5">
    <cfRule type="iconSet" priority="1">
      <iconSet iconSet="3Symbols2" showValue="0">
        <cfvo type="percent" val="0"/>
        <cfvo type="num" val="0.5"/>
        <cfvo type="num" val="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0000000-000E-0000-0200-000001000000}">
            <x14:iconSet iconSet="3Symbols2" showValue="0" custom="1">
              <x14:cfvo type="percent">
                <xm:f>0</xm:f>
              </x14:cfvo>
              <x14:cfvo type="num">
                <xm:f>0.5</xm:f>
              </x14:cfvo>
              <x14:cfvo type="num">
                <xm:f>1</xm:f>
              </x14:cfvo>
              <x14:cfIcon iconSet="3Symbols2" iconId="0"/>
              <x14:cfIcon iconSet="3Symbols2" iconId="1"/>
              <x14:cfIcon iconSet="3Symbols" iconId="2"/>
            </x14:iconSet>
          </x14:cfRule>
          <xm:sqref>E5:H14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DADEMONTH,YEARDYNAMIC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Hasif Shek</dc:creator>
  <cp:lastModifiedBy>Abid Hasan</cp:lastModifiedBy>
  <dcterms:created xsi:type="dcterms:W3CDTF">2015-06-05T18:17:20Z</dcterms:created>
  <dcterms:modified xsi:type="dcterms:W3CDTF">2025-10-24T14:40:21Z</dcterms:modified>
</cp:coreProperties>
</file>