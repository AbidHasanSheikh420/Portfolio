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7250" windowHeight="5565" activeTab="1"/>
  </bookViews>
  <sheets>
    <sheet name="Sheet1" sheetId="1" r:id="rId1"/>
    <sheet name="Jan-18" sheetId="2" r:id="rId2"/>
    <sheet name="Feb-18" sheetId="3" r:id="rId3"/>
    <sheet name="Sheet2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15" i="2" l="1"/>
  <c r="AU15" i="2"/>
  <c r="AV15" i="2"/>
  <c r="AS15" i="2"/>
  <c r="AV6" i="2"/>
  <c r="AV7" i="2"/>
  <c r="AV8" i="2"/>
  <c r="AV9" i="2"/>
  <c r="AV10" i="2"/>
  <c r="AV11" i="2"/>
  <c r="AV12" i="2"/>
  <c r="AV13" i="2"/>
  <c r="AV14" i="2"/>
  <c r="AV5" i="2"/>
  <c r="AU6" i="2"/>
  <c r="AU7" i="2"/>
  <c r="AU8" i="2"/>
  <c r="AU9" i="2"/>
  <c r="AU10" i="2"/>
  <c r="AU11" i="2"/>
  <c r="AU12" i="2"/>
  <c r="AU13" i="2"/>
  <c r="AU14" i="2"/>
  <c r="AU5" i="2"/>
  <c r="AT6" i="2"/>
  <c r="AT7" i="2"/>
  <c r="AT8" i="2"/>
  <c r="AT9" i="2"/>
  <c r="AT10" i="2"/>
  <c r="AT11" i="2"/>
  <c r="AT12" i="2"/>
  <c r="AT13" i="2"/>
  <c r="AT14" i="2"/>
  <c r="AT5" i="2"/>
  <c r="AS6" i="2"/>
  <c r="AS7" i="2"/>
  <c r="AS8" i="2"/>
  <c r="AS9" i="2"/>
  <c r="AS10" i="2"/>
  <c r="AS11" i="2"/>
  <c r="AS12" i="2"/>
  <c r="AS13" i="2"/>
  <c r="AS14" i="2"/>
  <c r="AS5" i="2"/>
  <c r="AR6" i="2"/>
  <c r="AR7" i="2"/>
  <c r="AR8" i="2"/>
  <c r="AR9" i="2"/>
  <c r="AR10" i="2"/>
  <c r="AR11" i="2"/>
  <c r="AR12" i="2"/>
  <c r="AR13" i="2"/>
  <c r="AR14" i="2"/>
  <c r="AR5" i="2"/>
  <c r="AQ6" i="2"/>
  <c r="AQ7" i="2"/>
  <c r="AQ8" i="2"/>
  <c r="AQ9" i="2"/>
  <c r="AQ10" i="2"/>
  <c r="AQ11" i="2"/>
  <c r="AQ12" i="2"/>
  <c r="AQ13" i="2"/>
  <c r="AQ14" i="2"/>
  <c r="AQ5" i="2"/>
  <c r="AP6" i="2"/>
  <c r="AP7" i="2"/>
  <c r="AP8" i="2"/>
  <c r="AP9" i="2"/>
  <c r="AP10" i="2"/>
  <c r="AP11" i="2"/>
  <c r="AP12" i="2"/>
  <c r="AP13" i="2"/>
  <c r="AP14" i="2"/>
  <c r="AP5" i="2"/>
  <c r="AO6" i="2"/>
  <c r="AO7" i="2"/>
  <c r="AO8" i="2"/>
  <c r="AO9" i="2"/>
  <c r="AO10" i="2"/>
  <c r="AO11" i="2"/>
  <c r="AO12" i="2"/>
  <c r="AO13" i="2"/>
  <c r="AO14" i="2"/>
  <c r="AO5" i="2"/>
  <c r="AN6" i="2"/>
  <c r="AN7" i="2"/>
  <c r="AN8" i="2"/>
  <c r="AN9" i="2"/>
  <c r="AN10" i="2"/>
  <c r="AN11" i="2"/>
  <c r="AN12" i="2"/>
  <c r="AN13" i="2"/>
  <c r="AN14" i="2"/>
  <c r="AN5" i="2"/>
  <c r="AM6" i="2"/>
  <c r="AM7" i="2"/>
  <c r="AM8" i="2"/>
  <c r="AM9" i="2"/>
  <c r="AM10" i="2"/>
  <c r="AM11" i="2"/>
  <c r="AM12" i="2"/>
  <c r="AM13" i="2"/>
  <c r="AM14" i="2"/>
  <c r="AM5" i="2"/>
  <c r="AL6" i="2"/>
  <c r="AL7" i="2"/>
  <c r="AL8" i="2"/>
  <c r="AL9" i="2"/>
  <c r="AL10" i="2"/>
  <c r="AL11" i="2"/>
  <c r="AL12" i="2"/>
  <c r="AL13" i="2"/>
  <c r="AL14" i="2"/>
  <c r="AL5" i="2"/>
  <c r="AR32" i="1"/>
  <c r="AS32" i="1"/>
  <c r="AT32" i="1"/>
  <c r="AU32" i="1"/>
  <c r="AV32" i="1"/>
  <c r="AQ32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7" i="1"/>
  <c r="AP8" i="1"/>
  <c r="AP12" i="1"/>
  <c r="AP16" i="1"/>
  <c r="AP20" i="1"/>
  <c r="AP24" i="1"/>
  <c r="AP28" i="1"/>
  <c r="AP7" i="1"/>
  <c r="AO8" i="1"/>
  <c r="AO9" i="1"/>
  <c r="AO10" i="1"/>
  <c r="AO11" i="1"/>
  <c r="AP11" i="1" s="1"/>
  <c r="AO12" i="1"/>
  <c r="AO13" i="1"/>
  <c r="AO14" i="1"/>
  <c r="AO15" i="1"/>
  <c r="AP15" i="1" s="1"/>
  <c r="AO16" i="1"/>
  <c r="AO17" i="1"/>
  <c r="AO18" i="1"/>
  <c r="AO19" i="1"/>
  <c r="AP19" i="1" s="1"/>
  <c r="AO20" i="1"/>
  <c r="AO21" i="1"/>
  <c r="AO22" i="1"/>
  <c r="AO23" i="1"/>
  <c r="AP23" i="1" s="1"/>
  <c r="AO24" i="1"/>
  <c r="AO25" i="1"/>
  <c r="AO26" i="1"/>
  <c r="AO27" i="1"/>
  <c r="AP27" i="1" s="1"/>
  <c r="AO28" i="1"/>
  <c r="AO29" i="1"/>
  <c r="AO30" i="1"/>
  <c r="AO31" i="1"/>
  <c r="AP31" i="1" s="1"/>
  <c r="AO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7" i="1"/>
  <c r="AM8" i="1"/>
  <c r="AM9" i="1"/>
  <c r="AP9" i="1" s="1"/>
  <c r="AM10" i="1"/>
  <c r="AP10" i="1" s="1"/>
  <c r="AM11" i="1"/>
  <c r="AM12" i="1"/>
  <c r="AM13" i="1"/>
  <c r="AP13" i="1" s="1"/>
  <c r="AM14" i="1"/>
  <c r="AP14" i="1" s="1"/>
  <c r="AM15" i="1"/>
  <c r="AM16" i="1"/>
  <c r="AM17" i="1"/>
  <c r="AP17" i="1" s="1"/>
  <c r="AM18" i="1"/>
  <c r="AP18" i="1" s="1"/>
  <c r="AM19" i="1"/>
  <c r="AM20" i="1"/>
  <c r="AM21" i="1"/>
  <c r="AP21" i="1" s="1"/>
  <c r="AM22" i="1"/>
  <c r="AP22" i="1" s="1"/>
  <c r="AM23" i="1"/>
  <c r="AM24" i="1"/>
  <c r="AM25" i="1"/>
  <c r="AP25" i="1" s="1"/>
  <c r="AM26" i="1"/>
  <c r="AP26" i="1" s="1"/>
  <c r="AM27" i="1"/>
  <c r="AM28" i="1"/>
  <c r="AM29" i="1"/>
  <c r="AP29" i="1" s="1"/>
  <c r="AM30" i="1"/>
  <c r="AP30" i="1" s="1"/>
  <c r="AM31" i="1"/>
  <c r="AM7" i="1"/>
</calcChain>
</file>

<file path=xl/sharedStrings.xml><?xml version="1.0" encoding="utf-8"?>
<sst xmlns="http://schemas.openxmlformats.org/spreadsheetml/2006/main" count="1078" uniqueCount="66">
  <si>
    <t>Tanvir Academy Monthly Attendance Register and Salary Sheet</t>
  </si>
  <si>
    <t>Month</t>
  </si>
  <si>
    <t>Januray-2018</t>
  </si>
  <si>
    <t>SI NO</t>
  </si>
  <si>
    <t>Staff Name</t>
  </si>
  <si>
    <t>Designation</t>
  </si>
  <si>
    <t>Staff ID</t>
  </si>
  <si>
    <t>Days</t>
  </si>
  <si>
    <t>Date</t>
  </si>
  <si>
    <t>Sat</t>
  </si>
  <si>
    <t>Sun</t>
  </si>
  <si>
    <t>Mon</t>
  </si>
  <si>
    <t>Tue</t>
  </si>
  <si>
    <t>Wed</t>
  </si>
  <si>
    <t>Thu</t>
  </si>
  <si>
    <t>Fri</t>
  </si>
  <si>
    <t>Md. Tareq</t>
  </si>
  <si>
    <t>Ashikur Rahman</t>
  </si>
  <si>
    <t>Md. Rubel Hossan</t>
  </si>
  <si>
    <t>Md. Amirul Islam</t>
  </si>
  <si>
    <t>Md. Kurban Ali</t>
  </si>
  <si>
    <t>Md. Mostafizar Rahman</t>
  </si>
  <si>
    <t>Shamim Ahmed</t>
  </si>
  <si>
    <t>Md. Shahinur Islam</t>
  </si>
  <si>
    <t>Md. Al Mamun</t>
  </si>
  <si>
    <t>GM</t>
  </si>
  <si>
    <t>AGM</t>
  </si>
  <si>
    <t>Manager</t>
  </si>
  <si>
    <t>Asst. Manager</t>
  </si>
  <si>
    <t>Officer (A/C)</t>
  </si>
  <si>
    <t>Officer (D/O)</t>
  </si>
  <si>
    <t>Office Asst.</t>
  </si>
  <si>
    <t>Deliver Man</t>
  </si>
  <si>
    <t>Md. Jamil Islam</t>
  </si>
  <si>
    <t>Driver</t>
  </si>
  <si>
    <t>Month Of Janury -2018</t>
  </si>
  <si>
    <t>P</t>
  </si>
  <si>
    <t>A</t>
  </si>
  <si>
    <t>BASIC Salary</t>
  </si>
  <si>
    <t>Total Present</t>
  </si>
  <si>
    <t>Total Absent</t>
  </si>
  <si>
    <t>Off Day</t>
  </si>
  <si>
    <t>Total Paid Day</t>
  </si>
  <si>
    <t>Housh Rent</t>
  </si>
  <si>
    <t>Medical Allowns</t>
  </si>
  <si>
    <t>Per Day Salary</t>
  </si>
  <si>
    <t>Paid Basic Salary</t>
  </si>
  <si>
    <t>PF</t>
  </si>
  <si>
    <t>Growss Salary</t>
  </si>
  <si>
    <t>In Hand Salary</t>
  </si>
  <si>
    <t>Reciver Signature</t>
  </si>
  <si>
    <t>Total</t>
  </si>
  <si>
    <t>sun</t>
  </si>
  <si>
    <t>mon</t>
  </si>
  <si>
    <t>tue</t>
  </si>
  <si>
    <t>wed</t>
  </si>
  <si>
    <t>thu</t>
  </si>
  <si>
    <t>fri</t>
  </si>
  <si>
    <t>sat</t>
  </si>
  <si>
    <t>Basic salary</t>
  </si>
  <si>
    <t>per day</t>
  </si>
  <si>
    <t>Total P</t>
  </si>
  <si>
    <t>Total A</t>
  </si>
  <si>
    <t>Total Off day</t>
  </si>
  <si>
    <t>total paid 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</si>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</sst>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MS Sans Serif"/>
    </font>
    <font>
      <sz val="12"/>
      <color theme="1"/>
      <name val="Calibri"/>
      <family val="2"/>
      <scheme val="minor"/>
    </font>
    <font>
      <sz val="9"/>
      <color indexed="8"/>
      <name val="Arial Narrow"/>
      <family val="2"/>
    </font>
    <font>
      <sz val="10"/>
      <color indexed="8"/>
      <name val="MS Sans Serif"/>
      <family val="2"/>
    </font>
    <font>
      <b/>
      <sz val="12"/>
      <color theme="1"/>
      <name val="Calibri"/>
      <family val="2"/>
      <scheme val="minor"/>
    </font>
    <font>
      <sz val="11"/>
      <color indexed="8"/>
      <name val="Arial Narrow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6" fillId="0" borderId="0"/>
    <xf numFmtId="0" fontId="1" fillId="0" borderId="0"/>
  </cellStyleXfs>
  <cellXfs count="5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8" fillId="0" borderId="1" xfId="2" applyFont="1" applyBorder="1" applyAlignment="1">
      <alignment vertical="center"/>
    </xf>
    <xf numFmtId="0" fontId="0" fillId="0" borderId="1" xfId="0" applyFont="1" applyBorder="1"/>
    <xf numFmtId="0" fontId="0" fillId="3" borderId="1" xfId="0" applyFill="1" applyBorder="1" applyAlignment="1">
      <alignment horizontal="center"/>
    </xf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2" fillId="0" borderId="1" xfId="0" applyNumberFormat="1" applyFont="1" applyBorder="1"/>
    <xf numFmtId="164" fontId="10" fillId="7" borderId="1" xfId="0" applyNumberFormat="1" applyFont="1" applyFill="1" applyBorder="1"/>
    <xf numFmtId="0" fontId="0" fillId="8" borderId="1" xfId="0" applyFill="1" applyBorder="1" applyAlignment="1">
      <alignment horizontal="center"/>
    </xf>
    <xf numFmtId="0" fontId="4" fillId="4" borderId="9" xfId="0" applyFont="1" applyFill="1" applyBorder="1"/>
    <xf numFmtId="0" fontId="4" fillId="4" borderId="10" xfId="0" applyFont="1" applyFill="1" applyBorder="1"/>
    <xf numFmtId="0" fontId="0" fillId="4" borderId="10" xfId="0" applyFill="1" applyBorder="1"/>
    <xf numFmtId="164" fontId="0" fillId="4" borderId="10" xfId="1" applyNumberFormat="1" applyFont="1" applyFill="1" applyBorder="1"/>
    <xf numFmtId="0" fontId="0" fillId="4" borderId="11" xfId="0" applyFill="1" applyBorder="1"/>
    <xf numFmtId="0" fontId="0" fillId="0" borderId="3" xfId="0" applyBorder="1"/>
    <xf numFmtId="0" fontId="0" fillId="6" borderId="1" xfId="0" applyFill="1" applyBorder="1" applyAlignment="1">
      <alignment horizontal="center"/>
    </xf>
    <xf numFmtId="164" fontId="9" fillId="0" borderId="0" xfId="0" applyNumberFormat="1" applyFont="1"/>
    <xf numFmtId="0" fontId="2" fillId="5" borderId="1" xfId="0" applyFont="1" applyFill="1" applyBorder="1" applyAlignment="1">
      <alignment horizontal="center" vertical="center"/>
    </xf>
    <xf numFmtId="17" fontId="7" fillId="5" borderId="1" xfId="0" applyNumberFormat="1" applyFont="1" applyFill="1" applyBorder="1" applyAlignment="1">
      <alignment horizontal="center" vertical="center" textRotation="255"/>
    </xf>
    <xf numFmtId="0" fontId="7" fillId="5" borderId="1" xfId="0" applyFont="1" applyFill="1" applyBorder="1" applyAlignment="1">
      <alignment horizontal="center" vertical="center" textRotation="255"/>
    </xf>
    <xf numFmtId="164" fontId="2" fillId="2" borderId="1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164" fontId="2" fillId="2" borderId="4" xfId="1" applyNumberFormat="1" applyFont="1" applyFill="1" applyBorder="1" applyAlignment="1">
      <alignment horizontal="center" wrapText="1"/>
    </xf>
    <xf numFmtId="164" fontId="2" fillId="2" borderId="2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12" fillId="7" borderId="1" xfId="1" applyNumberFormat="1" applyFont="1" applyFill="1" applyBorder="1" applyAlignment="1">
      <alignment horizontal="right"/>
    </xf>
    <xf numFmtId="0" fontId="11" fillId="4" borderId="6" xfId="0" applyFont="1" applyFill="1" applyBorder="1" applyAlignment="1">
      <alignment horizontal="left"/>
    </xf>
    <xf numFmtId="0" fontId="11" fillId="4" borderId="7" xfId="0" applyFont="1" applyFill="1" applyBorder="1" applyAlignment="1">
      <alignment horizontal="left"/>
    </xf>
    <xf numFmtId="0" fontId="11" fillId="4" borderId="8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3" fillId="0" borderId="4" xfId="0" applyFont="1" applyBorder="1" applyAlignment="1">
      <alignment horizontal="center" textRotation="255"/>
    </xf>
    <xf numFmtId="0" fontId="13" fillId="0" borderId="12" xfId="0" applyFont="1" applyBorder="1" applyAlignment="1">
      <alignment horizontal="center" textRotation="255"/>
    </xf>
    <xf numFmtId="0" fontId="13" fillId="0" borderId="2" xfId="0" applyFont="1" applyBorder="1" applyAlignment="1">
      <alignment horizontal="center" textRotation="255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5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6">
    <cellStyle name="Comma" xfId="1" builtinId="3"/>
    <cellStyle name="Comma 2" xfId="3"/>
    <cellStyle name="Normal" xfId="0" builtinId="0"/>
    <cellStyle name="Normal 2" xfId="4"/>
    <cellStyle name="Normal 3" xfId="5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32"/>
  <sheetViews>
    <sheetView zoomScaleNormal="100" workbookViewId="0">
      <pane xSplit="5" ySplit="6" topLeftCell="F10" activePane="bottomRight" state="frozen"/>
      <selection pane="topRight" activeCell="F1" sqref="F1"/>
      <selection pane="bottomLeft" activeCell="A6" sqref="A6"/>
      <selection pane="bottomRight" activeCell="E8" sqref="E8"/>
    </sheetView>
  </sheetViews>
  <sheetFormatPr defaultRowHeight="15" x14ac:dyDescent="0.25"/>
  <cols>
    <col min="1" max="1" width="0.85546875" customWidth="1"/>
    <col min="2" max="2" width="7" bestFit="1" customWidth="1"/>
    <col min="3" max="3" width="20" bestFit="1" customWidth="1"/>
    <col min="4" max="4" width="7.28515625" bestFit="1" customWidth="1"/>
    <col min="5" max="5" width="13.42578125" bestFit="1" customWidth="1"/>
    <col min="6" max="6" width="5" bestFit="1" customWidth="1"/>
    <col min="37" max="37" width="10.28515625" style="9" customWidth="1"/>
    <col min="38" max="38" width="8.7109375" style="9" customWidth="1"/>
    <col min="41" max="41" width="5" customWidth="1"/>
    <col min="43" max="43" width="9.5703125" customWidth="1"/>
    <col min="44" max="44" width="8.42578125" style="9" customWidth="1"/>
    <col min="45" max="46" width="10.28515625" style="9" customWidth="1"/>
    <col min="47" max="47" width="7.7109375" customWidth="1"/>
    <col min="48" max="48" width="11.28515625" customWidth="1"/>
  </cols>
  <sheetData>
    <row r="1" spans="2:53" ht="5.45" customHeight="1" thickBot="1" x14ac:dyDescent="0.35"/>
    <row r="2" spans="2:53" ht="21" x14ac:dyDescent="0.4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2"/>
    </row>
    <row r="3" spans="2:53" ht="16.149999999999999" thickBot="1" x14ac:dyDescent="0.35">
      <c r="B3" s="16" t="s">
        <v>1</v>
      </c>
      <c r="C3" s="17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  <c r="AL3" s="19"/>
      <c r="AM3" s="18"/>
      <c r="AN3" s="18"/>
      <c r="AO3" s="18"/>
      <c r="AP3" s="18"/>
      <c r="AQ3" s="18"/>
      <c r="AR3" s="19"/>
      <c r="AS3" s="19"/>
      <c r="AT3" s="19"/>
      <c r="AU3" s="18"/>
      <c r="AV3" s="18"/>
      <c r="AW3" s="18"/>
      <c r="AX3" s="20"/>
    </row>
    <row r="4" spans="2:53" ht="4.1500000000000004" customHeight="1" x14ac:dyDescent="0.3"/>
    <row r="5" spans="2:53" x14ac:dyDescent="0.25">
      <c r="B5" s="24" t="s">
        <v>3</v>
      </c>
      <c r="C5" s="24" t="s">
        <v>4</v>
      </c>
      <c r="D5" s="24" t="s">
        <v>6</v>
      </c>
      <c r="E5" s="24" t="s">
        <v>5</v>
      </c>
      <c r="F5" s="4" t="s">
        <v>7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8" t="s">
        <v>15</v>
      </c>
      <c r="N5" s="15" t="s">
        <v>9</v>
      </c>
      <c r="O5" s="15" t="s">
        <v>10</v>
      </c>
      <c r="P5" s="15" t="s">
        <v>11</v>
      </c>
      <c r="Q5" s="15" t="s">
        <v>12</v>
      </c>
      <c r="R5" s="15" t="s">
        <v>13</v>
      </c>
      <c r="S5" s="15" t="s">
        <v>14</v>
      </c>
      <c r="T5" s="8" t="s">
        <v>15</v>
      </c>
      <c r="U5" s="15" t="s">
        <v>9</v>
      </c>
      <c r="V5" s="15" t="s">
        <v>10</v>
      </c>
      <c r="W5" s="15" t="s">
        <v>11</v>
      </c>
      <c r="X5" s="15" t="s">
        <v>12</v>
      </c>
      <c r="Y5" s="15" t="s">
        <v>13</v>
      </c>
      <c r="Z5" s="15" t="s">
        <v>14</v>
      </c>
      <c r="AA5" s="8" t="s">
        <v>15</v>
      </c>
      <c r="AB5" s="15" t="s">
        <v>9</v>
      </c>
      <c r="AC5" s="15" t="s">
        <v>10</v>
      </c>
      <c r="AD5" s="15" t="s">
        <v>11</v>
      </c>
      <c r="AE5" s="15" t="s">
        <v>12</v>
      </c>
      <c r="AF5" s="15" t="s">
        <v>13</v>
      </c>
      <c r="AG5" s="15" t="s">
        <v>14</v>
      </c>
      <c r="AH5" s="8" t="s">
        <v>15</v>
      </c>
      <c r="AI5" s="15" t="s">
        <v>9</v>
      </c>
      <c r="AJ5" s="15" t="s">
        <v>10</v>
      </c>
      <c r="AK5" s="27" t="s">
        <v>38</v>
      </c>
      <c r="AL5" s="30" t="s">
        <v>45</v>
      </c>
      <c r="AM5" s="28" t="s">
        <v>39</v>
      </c>
      <c r="AN5" s="28" t="s">
        <v>40</v>
      </c>
      <c r="AO5" s="29" t="s">
        <v>41</v>
      </c>
      <c r="AP5" s="28" t="s">
        <v>42</v>
      </c>
      <c r="AQ5" s="33" t="s">
        <v>46</v>
      </c>
      <c r="AR5" s="30" t="s">
        <v>43</v>
      </c>
      <c r="AS5" s="30" t="s">
        <v>44</v>
      </c>
      <c r="AT5" s="30" t="s">
        <v>48</v>
      </c>
      <c r="AU5" s="35" t="s">
        <v>47</v>
      </c>
      <c r="AV5" s="36" t="s">
        <v>49</v>
      </c>
      <c r="AW5" s="37" t="s">
        <v>50</v>
      </c>
      <c r="AX5" s="37"/>
      <c r="AY5" s="32"/>
      <c r="AZ5" s="32"/>
      <c r="BA5" s="32"/>
    </row>
    <row r="6" spans="2:53" x14ac:dyDescent="0.25">
      <c r="B6" s="24"/>
      <c r="C6" s="24"/>
      <c r="D6" s="24"/>
      <c r="E6" s="24"/>
      <c r="F6" s="5" t="s">
        <v>8</v>
      </c>
      <c r="G6" s="15">
        <v>1</v>
      </c>
      <c r="H6" s="15">
        <v>2</v>
      </c>
      <c r="I6" s="15">
        <v>3</v>
      </c>
      <c r="J6" s="15">
        <v>4</v>
      </c>
      <c r="K6" s="15">
        <v>5</v>
      </c>
      <c r="L6" s="15">
        <v>6</v>
      </c>
      <c r="M6" s="8">
        <v>7</v>
      </c>
      <c r="N6" s="15">
        <v>8</v>
      </c>
      <c r="O6" s="15">
        <v>9</v>
      </c>
      <c r="P6" s="15">
        <v>10</v>
      </c>
      <c r="Q6" s="15">
        <v>11</v>
      </c>
      <c r="R6" s="15">
        <v>12</v>
      </c>
      <c r="S6" s="15">
        <v>13</v>
      </c>
      <c r="T6" s="8">
        <v>14</v>
      </c>
      <c r="U6" s="15">
        <v>15</v>
      </c>
      <c r="V6" s="15">
        <v>16</v>
      </c>
      <c r="W6" s="15">
        <v>17</v>
      </c>
      <c r="X6" s="15">
        <v>18</v>
      </c>
      <c r="Y6" s="15">
        <v>19</v>
      </c>
      <c r="Z6" s="15">
        <v>20</v>
      </c>
      <c r="AA6" s="8">
        <v>21</v>
      </c>
      <c r="AB6" s="15">
        <v>22</v>
      </c>
      <c r="AC6" s="15">
        <v>23</v>
      </c>
      <c r="AD6" s="15">
        <v>24</v>
      </c>
      <c r="AE6" s="15">
        <v>25</v>
      </c>
      <c r="AF6" s="15">
        <v>26</v>
      </c>
      <c r="AG6" s="15">
        <v>27</v>
      </c>
      <c r="AH6" s="8">
        <v>28</v>
      </c>
      <c r="AI6" s="15">
        <v>29</v>
      </c>
      <c r="AJ6" s="15">
        <v>30</v>
      </c>
      <c r="AK6" s="27"/>
      <c r="AL6" s="31"/>
      <c r="AM6" s="28"/>
      <c r="AN6" s="28"/>
      <c r="AO6" s="29"/>
      <c r="AP6" s="28"/>
      <c r="AQ6" s="34"/>
      <c r="AR6" s="31"/>
      <c r="AS6" s="31"/>
      <c r="AT6" s="31"/>
      <c r="AU6" s="35"/>
      <c r="AV6" s="36"/>
      <c r="AW6" s="37"/>
      <c r="AX6" s="37"/>
      <c r="AY6" s="32"/>
      <c r="AZ6" s="32"/>
      <c r="BA6" s="32"/>
    </row>
    <row r="7" spans="2:53" x14ac:dyDescent="0.25">
      <c r="B7" s="1">
        <v>1</v>
      </c>
      <c r="C7" s="7" t="s">
        <v>16</v>
      </c>
      <c r="D7" s="1">
        <v>11056</v>
      </c>
      <c r="E7" s="1" t="s">
        <v>25</v>
      </c>
      <c r="F7" s="25" t="s">
        <v>35</v>
      </c>
      <c r="G7" s="1" t="s">
        <v>36</v>
      </c>
      <c r="H7" s="1" t="s">
        <v>36</v>
      </c>
      <c r="I7" s="1" t="s">
        <v>36</v>
      </c>
      <c r="J7" s="1" t="s">
        <v>36</v>
      </c>
      <c r="K7" s="1" t="s">
        <v>37</v>
      </c>
      <c r="L7" s="1" t="s">
        <v>36</v>
      </c>
      <c r="M7" s="3"/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3"/>
      <c r="U7" s="1" t="s">
        <v>36</v>
      </c>
      <c r="V7" s="1" t="s">
        <v>36</v>
      </c>
      <c r="W7" s="1" t="s">
        <v>37</v>
      </c>
      <c r="X7" s="1" t="s">
        <v>36</v>
      </c>
      <c r="Y7" s="1" t="s">
        <v>36</v>
      </c>
      <c r="Z7" s="1" t="s">
        <v>36</v>
      </c>
      <c r="AA7" s="3"/>
      <c r="AB7" s="1" t="s">
        <v>36</v>
      </c>
      <c r="AC7" s="1" t="s">
        <v>36</v>
      </c>
      <c r="AD7" s="1" t="s">
        <v>36</v>
      </c>
      <c r="AE7" s="1" t="s">
        <v>36</v>
      </c>
      <c r="AF7" s="1" t="s">
        <v>36</v>
      </c>
      <c r="AG7" s="1" t="s">
        <v>36</v>
      </c>
      <c r="AH7" s="3"/>
      <c r="AI7" s="1" t="s">
        <v>36</v>
      </c>
      <c r="AJ7" s="1" t="s">
        <v>36</v>
      </c>
      <c r="AK7" s="10">
        <v>80000</v>
      </c>
      <c r="AL7" s="10">
        <f>AK7/30</f>
        <v>2666.6666666666665</v>
      </c>
      <c r="AM7" s="1">
        <f t="shared" ref="AM7:AM31" si="0">COUNTIF(G7:AJ7,"p")</f>
        <v>24</v>
      </c>
      <c r="AN7" s="1">
        <f t="shared" ref="AN7:AN31" si="1">COUNTIF(G7:AJ7,"A")</f>
        <v>2</v>
      </c>
      <c r="AO7" s="1">
        <f t="shared" ref="AO7:AO31" si="2">COUNTIF(G7:AJ7,"")</f>
        <v>4</v>
      </c>
      <c r="AP7" s="1">
        <f>AM7+AO7</f>
        <v>28</v>
      </c>
      <c r="AQ7" s="11">
        <f>AL7*AP7</f>
        <v>74666.666666666657</v>
      </c>
      <c r="AR7" s="10">
        <f>AK7*5%</f>
        <v>4000</v>
      </c>
      <c r="AS7" s="10">
        <f>AK7*5%</f>
        <v>4000</v>
      </c>
      <c r="AT7" s="10">
        <f>AQ7+AR7+AS7</f>
        <v>82666.666666666657</v>
      </c>
      <c r="AU7" s="11">
        <f>AK7*1%</f>
        <v>800</v>
      </c>
      <c r="AV7" s="13">
        <f>AT7-AU7</f>
        <v>81866.666666666657</v>
      </c>
      <c r="AW7" s="38"/>
      <c r="AX7" s="38"/>
    </row>
    <row r="8" spans="2:53" ht="16.5" x14ac:dyDescent="0.25">
      <c r="B8" s="1">
        <v>2</v>
      </c>
      <c r="C8" s="6" t="s">
        <v>17</v>
      </c>
      <c r="D8" s="1">
        <v>11057</v>
      </c>
      <c r="E8" s="1" t="s">
        <v>26</v>
      </c>
      <c r="F8" s="26"/>
      <c r="G8" s="1" t="s">
        <v>36</v>
      </c>
      <c r="H8" s="1" t="s">
        <v>37</v>
      </c>
      <c r="I8" s="1" t="s">
        <v>36</v>
      </c>
      <c r="J8" s="1" t="s">
        <v>36</v>
      </c>
      <c r="K8" s="1" t="s">
        <v>36</v>
      </c>
      <c r="L8" s="1" t="s">
        <v>36</v>
      </c>
      <c r="M8" s="3"/>
      <c r="N8" s="1" t="s">
        <v>36</v>
      </c>
      <c r="O8" s="1" t="s">
        <v>36</v>
      </c>
      <c r="P8" s="1" t="s">
        <v>36</v>
      </c>
      <c r="Q8" s="1" t="s">
        <v>37</v>
      </c>
      <c r="R8" s="1" t="s">
        <v>36</v>
      </c>
      <c r="S8" s="1" t="s">
        <v>36</v>
      </c>
      <c r="T8" s="3"/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3"/>
      <c r="AB8" s="1" t="s">
        <v>36</v>
      </c>
      <c r="AC8" s="1" t="s">
        <v>36</v>
      </c>
      <c r="AD8" s="1" t="s">
        <v>36</v>
      </c>
      <c r="AE8" s="1" t="s">
        <v>36</v>
      </c>
      <c r="AF8" s="1" t="s">
        <v>36</v>
      </c>
      <c r="AG8" s="1" t="s">
        <v>36</v>
      </c>
      <c r="AH8" s="3"/>
      <c r="AI8" s="1" t="s">
        <v>36</v>
      </c>
      <c r="AJ8" s="1" t="s">
        <v>36</v>
      </c>
      <c r="AK8" s="10">
        <v>60000</v>
      </c>
      <c r="AL8" s="10">
        <f t="shared" ref="AL8:AL31" si="3">AK8/30</f>
        <v>2000</v>
      </c>
      <c r="AM8" s="1">
        <f t="shared" si="0"/>
        <v>24</v>
      </c>
      <c r="AN8" s="1">
        <f t="shared" si="1"/>
        <v>2</v>
      </c>
      <c r="AO8" s="1">
        <f t="shared" si="2"/>
        <v>4</v>
      </c>
      <c r="AP8" s="1">
        <f t="shared" ref="AP8:AP31" si="4">AM8+AO8</f>
        <v>28</v>
      </c>
      <c r="AQ8" s="11">
        <f t="shared" ref="AQ8:AQ31" si="5">AL8*AP8</f>
        <v>56000</v>
      </c>
      <c r="AR8" s="10">
        <f t="shared" ref="AR8:AR31" si="6">AK8*5%</f>
        <v>3000</v>
      </c>
      <c r="AS8" s="10">
        <f t="shared" ref="AS8:AS31" si="7">AK8*5%</f>
        <v>3000</v>
      </c>
      <c r="AT8" s="10">
        <f t="shared" ref="AT8:AT31" si="8">AQ8+AR8+AS8</f>
        <v>62000</v>
      </c>
      <c r="AU8" s="11">
        <f t="shared" ref="AU8:AU31" si="9">AK8*1%</f>
        <v>600</v>
      </c>
      <c r="AV8" s="13">
        <f t="shared" ref="AV8:AV31" si="10">AT8-AU8</f>
        <v>61400</v>
      </c>
      <c r="AW8" s="38"/>
      <c r="AX8" s="38"/>
    </row>
    <row r="9" spans="2:53" ht="16.5" x14ac:dyDescent="0.25">
      <c r="B9" s="1">
        <v>3</v>
      </c>
      <c r="C9" s="6" t="s">
        <v>18</v>
      </c>
      <c r="D9" s="1">
        <v>11058</v>
      </c>
      <c r="E9" s="1" t="s">
        <v>27</v>
      </c>
      <c r="F9" s="26"/>
      <c r="G9" s="1" t="s">
        <v>36</v>
      </c>
      <c r="H9" s="1" t="s">
        <v>36</v>
      </c>
      <c r="I9" s="1" t="s">
        <v>36</v>
      </c>
      <c r="J9" s="1" t="s">
        <v>37</v>
      </c>
      <c r="K9" s="1" t="s">
        <v>36</v>
      </c>
      <c r="L9" s="1" t="s">
        <v>36</v>
      </c>
      <c r="M9" s="3"/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3"/>
      <c r="U9" s="1" t="s">
        <v>36</v>
      </c>
      <c r="V9" s="1" t="s">
        <v>36</v>
      </c>
      <c r="W9" s="1" t="s">
        <v>37</v>
      </c>
      <c r="X9" s="1" t="s">
        <v>36</v>
      </c>
      <c r="Y9" s="1" t="s">
        <v>36</v>
      </c>
      <c r="Z9" s="1" t="s">
        <v>36</v>
      </c>
      <c r="AA9" s="3"/>
      <c r="AB9" s="1" t="s">
        <v>36</v>
      </c>
      <c r="AC9" s="1" t="s">
        <v>36</v>
      </c>
      <c r="AD9" s="1" t="s">
        <v>36</v>
      </c>
      <c r="AE9" s="1" t="s">
        <v>36</v>
      </c>
      <c r="AF9" s="1" t="s">
        <v>36</v>
      </c>
      <c r="AG9" s="1" t="s">
        <v>36</v>
      </c>
      <c r="AH9" s="3"/>
      <c r="AI9" s="1" t="s">
        <v>36</v>
      </c>
      <c r="AJ9" s="1" t="s">
        <v>36</v>
      </c>
      <c r="AK9" s="10">
        <v>45000</v>
      </c>
      <c r="AL9" s="10">
        <f t="shared" si="3"/>
        <v>1500</v>
      </c>
      <c r="AM9" s="1">
        <f t="shared" si="0"/>
        <v>24</v>
      </c>
      <c r="AN9" s="1">
        <f t="shared" si="1"/>
        <v>2</v>
      </c>
      <c r="AO9" s="1">
        <f t="shared" si="2"/>
        <v>4</v>
      </c>
      <c r="AP9" s="1">
        <f t="shared" si="4"/>
        <v>28</v>
      </c>
      <c r="AQ9" s="11">
        <f t="shared" si="5"/>
        <v>42000</v>
      </c>
      <c r="AR9" s="10">
        <f t="shared" si="6"/>
        <v>2250</v>
      </c>
      <c r="AS9" s="10">
        <f t="shared" si="7"/>
        <v>2250</v>
      </c>
      <c r="AT9" s="10">
        <f t="shared" si="8"/>
        <v>46500</v>
      </c>
      <c r="AU9" s="11">
        <f t="shared" si="9"/>
        <v>450</v>
      </c>
      <c r="AV9" s="13">
        <f t="shared" si="10"/>
        <v>46050</v>
      </c>
      <c r="AW9" s="38"/>
      <c r="AX9" s="38"/>
    </row>
    <row r="10" spans="2:53" ht="16.5" x14ac:dyDescent="0.25">
      <c r="B10" s="1">
        <v>4</v>
      </c>
      <c r="C10" s="6" t="s">
        <v>19</v>
      </c>
      <c r="D10" s="1">
        <v>11059</v>
      </c>
      <c r="E10" s="1" t="s">
        <v>27</v>
      </c>
      <c r="F10" s="26"/>
      <c r="G10" s="1" t="s">
        <v>37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3"/>
      <c r="N10" s="1" t="s">
        <v>36</v>
      </c>
      <c r="O10" s="1" t="s">
        <v>36</v>
      </c>
      <c r="P10" s="1" t="s">
        <v>37</v>
      </c>
      <c r="Q10" s="1" t="s">
        <v>36</v>
      </c>
      <c r="R10" s="1" t="s">
        <v>36</v>
      </c>
      <c r="S10" s="1" t="s">
        <v>36</v>
      </c>
      <c r="T10" s="3"/>
      <c r="U10" s="1" t="s">
        <v>37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3"/>
      <c r="AB10" s="1" t="s">
        <v>36</v>
      </c>
      <c r="AC10" s="1" t="s">
        <v>36</v>
      </c>
      <c r="AD10" s="1" t="s">
        <v>36</v>
      </c>
      <c r="AE10" s="1" t="s">
        <v>36</v>
      </c>
      <c r="AF10" s="1" t="s">
        <v>36</v>
      </c>
      <c r="AG10" s="1" t="s">
        <v>36</v>
      </c>
      <c r="AH10" s="3"/>
      <c r="AI10" s="1" t="s">
        <v>36</v>
      </c>
      <c r="AJ10" s="1" t="s">
        <v>36</v>
      </c>
      <c r="AK10" s="10">
        <v>45000</v>
      </c>
      <c r="AL10" s="10">
        <f t="shared" si="3"/>
        <v>1500</v>
      </c>
      <c r="AM10" s="1">
        <f t="shared" si="0"/>
        <v>23</v>
      </c>
      <c r="AN10" s="1">
        <f t="shared" si="1"/>
        <v>3</v>
      </c>
      <c r="AO10" s="1">
        <f t="shared" si="2"/>
        <v>4</v>
      </c>
      <c r="AP10" s="1">
        <f t="shared" si="4"/>
        <v>27</v>
      </c>
      <c r="AQ10" s="11">
        <f t="shared" si="5"/>
        <v>40500</v>
      </c>
      <c r="AR10" s="10">
        <f t="shared" si="6"/>
        <v>2250</v>
      </c>
      <c r="AS10" s="10">
        <f t="shared" si="7"/>
        <v>2250</v>
      </c>
      <c r="AT10" s="10">
        <f t="shared" si="8"/>
        <v>45000</v>
      </c>
      <c r="AU10" s="11">
        <f t="shared" si="9"/>
        <v>450</v>
      </c>
      <c r="AV10" s="13">
        <f t="shared" si="10"/>
        <v>44550</v>
      </c>
      <c r="AW10" s="38"/>
      <c r="AX10" s="38"/>
    </row>
    <row r="11" spans="2:53" ht="16.5" x14ac:dyDescent="0.25">
      <c r="B11" s="1">
        <v>5</v>
      </c>
      <c r="C11" s="6" t="s">
        <v>18</v>
      </c>
      <c r="D11" s="1">
        <v>11060</v>
      </c>
      <c r="E11" s="1" t="s">
        <v>28</v>
      </c>
      <c r="F11" s="26"/>
      <c r="G11" s="1" t="s">
        <v>36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3"/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3"/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3"/>
      <c r="AB11" s="1" t="s">
        <v>36</v>
      </c>
      <c r="AC11" s="1" t="s">
        <v>36</v>
      </c>
      <c r="AD11" s="1" t="s">
        <v>36</v>
      </c>
      <c r="AE11" s="1" t="s">
        <v>36</v>
      </c>
      <c r="AF11" s="1" t="s">
        <v>36</v>
      </c>
      <c r="AG11" s="1" t="s">
        <v>36</v>
      </c>
      <c r="AH11" s="3"/>
      <c r="AI11" s="1" t="s">
        <v>36</v>
      </c>
      <c r="AJ11" s="1" t="s">
        <v>36</v>
      </c>
      <c r="AK11" s="10">
        <v>35000</v>
      </c>
      <c r="AL11" s="10">
        <f t="shared" si="3"/>
        <v>1166.6666666666667</v>
      </c>
      <c r="AM11" s="1">
        <f t="shared" si="0"/>
        <v>26</v>
      </c>
      <c r="AN11" s="1">
        <f t="shared" si="1"/>
        <v>0</v>
      </c>
      <c r="AO11" s="1">
        <f t="shared" si="2"/>
        <v>4</v>
      </c>
      <c r="AP11" s="1">
        <f t="shared" si="4"/>
        <v>30</v>
      </c>
      <c r="AQ11" s="11">
        <f t="shared" si="5"/>
        <v>35000</v>
      </c>
      <c r="AR11" s="10">
        <f t="shared" si="6"/>
        <v>1750</v>
      </c>
      <c r="AS11" s="10">
        <f t="shared" si="7"/>
        <v>1750</v>
      </c>
      <c r="AT11" s="10">
        <f t="shared" si="8"/>
        <v>38500</v>
      </c>
      <c r="AU11" s="11">
        <f t="shared" si="9"/>
        <v>350</v>
      </c>
      <c r="AV11" s="13">
        <f t="shared" si="10"/>
        <v>38150</v>
      </c>
      <c r="AW11" s="38"/>
      <c r="AX11" s="38"/>
    </row>
    <row r="12" spans="2:53" ht="16.5" x14ac:dyDescent="0.25">
      <c r="B12" s="1">
        <v>6</v>
      </c>
      <c r="C12" s="6" t="s">
        <v>20</v>
      </c>
      <c r="D12" s="1">
        <v>11061</v>
      </c>
      <c r="E12" s="1" t="s">
        <v>28</v>
      </c>
      <c r="F12" s="26"/>
      <c r="G12" s="1" t="s">
        <v>36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3"/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3"/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3"/>
      <c r="AB12" s="1" t="s">
        <v>36</v>
      </c>
      <c r="AC12" s="1" t="s">
        <v>36</v>
      </c>
      <c r="AD12" s="1" t="s">
        <v>36</v>
      </c>
      <c r="AE12" s="1" t="s">
        <v>36</v>
      </c>
      <c r="AF12" s="1" t="s">
        <v>36</v>
      </c>
      <c r="AG12" s="1" t="s">
        <v>36</v>
      </c>
      <c r="AH12" s="3"/>
      <c r="AI12" s="1" t="s">
        <v>36</v>
      </c>
      <c r="AJ12" s="1" t="s">
        <v>36</v>
      </c>
      <c r="AK12" s="10">
        <v>35000</v>
      </c>
      <c r="AL12" s="10">
        <f t="shared" si="3"/>
        <v>1166.6666666666667</v>
      </c>
      <c r="AM12" s="1">
        <f t="shared" si="0"/>
        <v>26</v>
      </c>
      <c r="AN12" s="1">
        <f t="shared" si="1"/>
        <v>0</v>
      </c>
      <c r="AO12" s="1">
        <f t="shared" si="2"/>
        <v>4</v>
      </c>
      <c r="AP12" s="1">
        <f t="shared" si="4"/>
        <v>30</v>
      </c>
      <c r="AQ12" s="11">
        <f t="shared" si="5"/>
        <v>35000</v>
      </c>
      <c r="AR12" s="10">
        <f t="shared" si="6"/>
        <v>1750</v>
      </c>
      <c r="AS12" s="10">
        <f t="shared" si="7"/>
        <v>1750</v>
      </c>
      <c r="AT12" s="10">
        <f t="shared" si="8"/>
        <v>38500</v>
      </c>
      <c r="AU12" s="11">
        <f t="shared" si="9"/>
        <v>350</v>
      </c>
      <c r="AV12" s="13">
        <f t="shared" si="10"/>
        <v>38150</v>
      </c>
      <c r="AW12" s="38"/>
      <c r="AX12" s="38"/>
    </row>
    <row r="13" spans="2:53" ht="16.5" x14ac:dyDescent="0.25">
      <c r="B13" s="1">
        <v>7</v>
      </c>
      <c r="C13" s="6" t="s">
        <v>21</v>
      </c>
      <c r="D13" s="1">
        <v>11062</v>
      </c>
      <c r="E13" s="1" t="s">
        <v>28</v>
      </c>
      <c r="F13" s="26"/>
      <c r="G13" s="1" t="s">
        <v>37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3"/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3"/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3"/>
      <c r="AB13" s="1" t="s">
        <v>36</v>
      </c>
      <c r="AC13" s="1" t="s">
        <v>36</v>
      </c>
      <c r="AD13" s="1" t="s">
        <v>36</v>
      </c>
      <c r="AE13" s="1" t="s">
        <v>36</v>
      </c>
      <c r="AF13" s="1" t="s">
        <v>36</v>
      </c>
      <c r="AG13" s="1" t="s">
        <v>36</v>
      </c>
      <c r="AH13" s="3"/>
      <c r="AI13" s="1" t="s">
        <v>36</v>
      </c>
      <c r="AJ13" s="1" t="s">
        <v>36</v>
      </c>
      <c r="AK13" s="10">
        <v>35000</v>
      </c>
      <c r="AL13" s="10">
        <f t="shared" si="3"/>
        <v>1166.6666666666667</v>
      </c>
      <c r="AM13" s="1">
        <f t="shared" si="0"/>
        <v>25</v>
      </c>
      <c r="AN13" s="1">
        <f t="shared" si="1"/>
        <v>1</v>
      </c>
      <c r="AO13" s="1">
        <f t="shared" si="2"/>
        <v>4</v>
      </c>
      <c r="AP13" s="1">
        <f t="shared" si="4"/>
        <v>29</v>
      </c>
      <c r="AQ13" s="11">
        <f t="shared" si="5"/>
        <v>33833.333333333336</v>
      </c>
      <c r="AR13" s="10">
        <f t="shared" si="6"/>
        <v>1750</v>
      </c>
      <c r="AS13" s="10">
        <f t="shared" si="7"/>
        <v>1750</v>
      </c>
      <c r="AT13" s="10">
        <f t="shared" si="8"/>
        <v>37333.333333333336</v>
      </c>
      <c r="AU13" s="11">
        <f t="shared" si="9"/>
        <v>350</v>
      </c>
      <c r="AV13" s="13">
        <f t="shared" si="10"/>
        <v>36983.333333333336</v>
      </c>
      <c r="AW13" s="38"/>
      <c r="AX13" s="38"/>
    </row>
    <row r="14" spans="2:53" ht="16.5" x14ac:dyDescent="0.25">
      <c r="B14" s="1">
        <v>8</v>
      </c>
      <c r="C14" s="6" t="s">
        <v>22</v>
      </c>
      <c r="D14" s="1">
        <v>11063</v>
      </c>
      <c r="E14" s="1" t="s">
        <v>28</v>
      </c>
      <c r="F14" s="26"/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37</v>
      </c>
      <c r="L14" s="1" t="s">
        <v>36</v>
      </c>
      <c r="M14" s="3"/>
      <c r="N14" s="1" t="s">
        <v>36</v>
      </c>
      <c r="O14" s="1" t="s">
        <v>36</v>
      </c>
      <c r="P14" s="1" t="s">
        <v>36</v>
      </c>
      <c r="Q14" s="1" t="s">
        <v>37</v>
      </c>
      <c r="R14" s="1" t="s">
        <v>36</v>
      </c>
      <c r="S14" s="1" t="s">
        <v>36</v>
      </c>
      <c r="T14" s="3"/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37</v>
      </c>
      <c r="Z14" s="1" t="s">
        <v>36</v>
      </c>
      <c r="AA14" s="3"/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3"/>
      <c r="AI14" s="1" t="s">
        <v>36</v>
      </c>
      <c r="AJ14" s="1" t="s">
        <v>36</v>
      </c>
      <c r="AK14" s="10">
        <v>35000</v>
      </c>
      <c r="AL14" s="10">
        <f t="shared" si="3"/>
        <v>1166.6666666666667</v>
      </c>
      <c r="AM14" s="1">
        <f t="shared" si="0"/>
        <v>23</v>
      </c>
      <c r="AN14" s="1">
        <f t="shared" si="1"/>
        <v>3</v>
      </c>
      <c r="AO14" s="1">
        <f t="shared" si="2"/>
        <v>4</v>
      </c>
      <c r="AP14" s="1">
        <f t="shared" si="4"/>
        <v>27</v>
      </c>
      <c r="AQ14" s="11">
        <f t="shared" si="5"/>
        <v>31500.000000000004</v>
      </c>
      <c r="AR14" s="10">
        <f t="shared" si="6"/>
        <v>1750</v>
      </c>
      <c r="AS14" s="10">
        <f t="shared" si="7"/>
        <v>1750</v>
      </c>
      <c r="AT14" s="10">
        <f t="shared" si="8"/>
        <v>35000</v>
      </c>
      <c r="AU14" s="11">
        <f t="shared" si="9"/>
        <v>350</v>
      </c>
      <c r="AV14" s="13">
        <f t="shared" si="10"/>
        <v>34650</v>
      </c>
      <c r="AW14" s="38"/>
      <c r="AX14" s="38"/>
    </row>
    <row r="15" spans="2:53" ht="16.5" x14ac:dyDescent="0.25">
      <c r="B15" s="1">
        <v>9</v>
      </c>
      <c r="C15" s="6" t="s">
        <v>23</v>
      </c>
      <c r="D15" s="1">
        <v>11064</v>
      </c>
      <c r="E15" s="1" t="s">
        <v>29</v>
      </c>
      <c r="F15" s="26"/>
      <c r="G15" s="1" t="s">
        <v>36</v>
      </c>
      <c r="H15" s="1" t="s">
        <v>36</v>
      </c>
      <c r="I15" s="1" t="s">
        <v>37</v>
      </c>
      <c r="J15" s="1" t="s">
        <v>36</v>
      </c>
      <c r="K15" s="1" t="s">
        <v>36</v>
      </c>
      <c r="L15" s="1" t="s">
        <v>36</v>
      </c>
      <c r="M15" s="3"/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3"/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3"/>
      <c r="AB15" s="1" t="s">
        <v>36</v>
      </c>
      <c r="AC15" s="1" t="s">
        <v>36</v>
      </c>
      <c r="AD15" s="1" t="s">
        <v>36</v>
      </c>
      <c r="AE15" s="1" t="s">
        <v>36</v>
      </c>
      <c r="AF15" s="1" t="s">
        <v>36</v>
      </c>
      <c r="AG15" s="1" t="s">
        <v>36</v>
      </c>
      <c r="AH15" s="3"/>
      <c r="AI15" s="1" t="s">
        <v>36</v>
      </c>
      <c r="AJ15" s="1" t="s">
        <v>36</v>
      </c>
      <c r="AK15" s="10">
        <v>20000</v>
      </c>
      <c r="AL15" s="10">
        <f t="shared" si="3"/>
        <v>666.66666666666663</v>
      </c>
      <c r="AM15" s="1">
        <f t="shared" si="0"/>
        <v>25</v>
      </c>
      <c r="AN15" s="1">
        <f t="shared" si="1"/>
        <v>1</v>
      </c>
      <c r="AO15" s="1">
        <f t="shared" si="2"/>
        <v>4</v>
      </c>
      <c r="AP15" s="1">
        <f t="shared" si="4"/>
        <v>29</v>
      </c>
      <c r="AQ15" s="11">
        <f t="shared" si="5"/>
        <v>19333.333333333332</v>
      </c>
      <c r="AR15" s="10">
        <f t="shared" si="6"/>
        <v>1000</v>
      </c>
      <c r="AS15" s="10">
        <f t="shared" si="7"/>
        <v>1000</v>
      </c>
      <c r="AT15" s="10">
        <f t="shared" si="8"/>
        <v>21333.333333333332</v>
      </c>
      <c r="AU15" s="11">
        <f t="shared" si="9"/>
        <v>200</v>
      </c>
      <c r="AV15" s="13">
        <f t="shared" si="10"/>
        <v>21133.333333333332</v>
      </c>
      <c r="AW15" s="38"/>
      <c r="AX15" s="38"/>
    </row>
    <row r="16" spans="2:53" ht="16.5" x14ac:dyDescent="0.25">
      <c r="B16" s="1">
        <v>10</v>
      </c>
      <c r="C16" s="6" t="s">
        <v>23</v>
      </c>
      <c r="D16" s="1">
        <v>11065</v>
      </c>
      <c r="E16" s="1" t="s">
        <v>29</v>
      </c>
      <c r="F16" s="26"/>
      <c r="G16" s="1" t="s">
        <v>36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3"/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3"/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3"/>
      <c r="AB16" s="1" t="s">
        <v>36</v>
      </c>
      <c r="AC16" s="1" t="s">
        <v>36</v>
      </c>
      <c r="AD16" s="1" t="s">
        <v>36</v>
      </c>
      <c r="AE16" s="1" t="s">
        <v>36</v>
      </c>
      <c r="AF16" s="1" t="s">
        <v>36</v>
      </c>
      <c r="AG16" s="1" t="s">
        <v>36</v>
      </c>
      <c r="AH16" s="3"/>
      <c r="AI16" s="1" t="s">
        <v>36</v>
      </c>
      <c r="AJ16" s="1" t="s">
        <v>36</v>
      </c>
      <c r="AK16" s="10">
        <v>20000</v>
      </c>
      <c r="AL16" s="10">
        <f t="shared" si="3"/>
        <v>666.66666666666663</v>
      </c>
      <c r="AM16" s="1">
        <f t="shared" si="0"/>
        <v>26</v>
      </c>
      <c r="AN16" s="1">
        <f t="shared" si="1"/>
        <v>0</v>
      </c>
      <c r="AO16" s="1">
        <f t="shared" si="2"/>
        <v>4</v>
      </c>
      <c r="AP16" s="1">
        <f t="shared" si="4"/>
        <v>30</v>
      </c>
      <c r="AQ16" s="11">
        <f t="shared" si="5"/>
        <v>20000</v>
      </c>
      <c r="AR16" s="10">
        <f t="shared" si="6"/>
        <v>1000</v>
      </c>
      <c r="AS16" s="10">
        <f t="shared" si="7"/>
        <v>1000</v>
      </c>
      <c r="AT16" s="10">
        <f t="shared" si="8"/>
        <v>22000</v>
      </c>
      <c r="AU16" s="11">
        <f t="shared" si="9"/>
        <v>200</v>
      </c>
      <c r="AV16" s="13">
        <f t="shared" si="10"/>
        <v>21800</v>
      </c>
      <c r="AW16" s="38"/>
      <c r="AX16" s="38"/>
    </row>
    <row r="17" spans="2:50" ht="16.5" x14ac:dyDescent="0.25">
      <c r="B17" s="1">
        <v>11</v>
      </c>
      <c r="C17" s="6" t="s">
        <v>17</v>
      </c>
      <c r="D17" s="1">
        <v>11066</v>
      </c>
      <c r="E17" s="1" t="s">
        <v>29</v>
      </c>
      <c r="F17" s="26"/>
      <c r="G17" s="1" t="s">
        <v>36</v>
      </c>
      <c r="H17" s="1" t="s">
        <v>36</v>
      </c>
      <c r="I17" s="1" t="s">
        <v>37</v>
      </c>
      <c r="J17" s="1" t="s">
        <v>36</v>
      </c>
      <c r="K17" s="1" t="s">
        <v>36</v>
      </c>
      <c r="L17" s="1" t="s">
        <v>36</v>
      </c>
      <c r="M17" s="3"/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3"/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3"/>
      <c r="AB17" s="1" t="s">
        <v>36</v>
      </c>
      <c r="AC17" s="1" t="s">
        <v>36</v>
      </c>
      <c r="AD17" s="1" t="s">
        <v>36</v>
      </c>
      <c r="AE17" s="1" t="s">
        <v>36</v>
      </c>
      <c r="AF17" s="1" t="s">
        <v>36</v>
      </c>
      <c r="AG17" s="1" t="s">
        <v>36</v>
      </c>
      <c r="AH17" s="3"/>
      <c r="AI17" s="1" t="s">
        <v>36</v>
      </c>
      <c r="AJ17" s="1" t="s">
        <v>36</v>
      </c>
      <c r="AK17" s="10">
        <v>20000</v>
      </c>
      <c r="AL17" s="10">
        <f t="shared" si="3"/>
        <v>666.66666666666663</v>
      </c>
      <c r="AM17" s="1">
        <f t="shared" si="0"/>
        <v>25</v>
      </c>
      <c r="AN17" s="1">
        <f t="shared" si="1"/>
        <v>1</v>
      </c>
      <c r="AO17" s="1">
        <f t="shared" si="2"/>
        <v>4</v>
      </c>
      <c r="AP17" s="1">
        <f t="shared" si="4"/>
        <v>29</v>
      </c>
      <c r="AQ17" s="11">
        <f t="shared" si="5"/>
        <v>19333.333333333332</v>
      </c>
      <c r="AR17" s="10">
        <f t="shared" si="6"/>
        <v>1000</v>
      </c>
      <c r="AS17" s="10">
        <f t="shared" si="7"/>
        <v>1000</v>
      </c>
      <c r="AT17" s="10">
        <f t="shared" si="8"/>
        <v>21333.333333333332</v>
      </c>
      <c r="AU17" s="11">
        <f t="shared" si="9"/>
        <v>200</v>
      </c>
      <c r="AV17" s="13">
        <f t="shared" si="10"/>
        <v>21133.333333333332</v>
      </c>
      <c r="AW17" s="38"/>
      <c r="AX17" s="38"/>
    </row>
    <row r="18" spans="2:50" ht="16.5" x14ac:dyDescent="0.25">
      <c r="B18" s="1">
        <v>12</v>
      </c>
      <c r="C18" s="6" t="s">
        <v>22</v>
      </c>
      <c r="D18" s="1">
        <v>11067</v>
      </c>
      <c r="E18" s="1" t="s">
        <v>29</v>
      </c>
      <c r="F18" s="26"/>
      <c r="G18" s="1" t="s">
        <v>36</v>
      </c>
      <c r="H18" s="1" t="s">
        <v>37</v>
      </c>
      <c r="I18" s="1" t="s">
        <v>36</v>
      </c>
      <c r="J18" s="1" t="s">
        <v>36</v>
      </c>
      <c r="K18" s="1" t="s">
        <v>36</v>
      </c>
      <c r="L18" s="1" t="s">
        <v>36</v>
      </c>
      <c r="M18" s="3"/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3"/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3"/>
      <c r="AB18" s="1" t="s">
        <v>36</v>
      </c>
      <c r="AC18" s="1" t="s">
        <v>36</v>
      </c>
      <c r="AD18" s="1" t="s">
        <v>36</v>
      </c>
      <c r="AE18" s="1" t="s">
        <v>36</v>
      </c>
      <c r="AF18" s="1" t="s">
        <v>36</v>
      </c>
      <c r="AG18" s="1" t="s">
        <v>36</v>
      </c>
      <c r="AH18" s="3"/>
      <c r="AI18" s="1" t="s">
        <v>36</v>
      </c>
      <c r="AJ18" s="1" t="s">
        <v>36</v>
      </c>
      <c r="AK18" s="10">
        <v>20000</v>
      </c>
      <c r="AL18" s="10">
        <f t="shared" si="3"/>
        <v>666.66666666666663</v>
      </c>
      <c r="AM18" s="1">
        <f t="shared" si="0"/>
        <v>25</v>
      </c>
      <c r="AN18" s="1">
        <f t="shared" si="1"/>
        <v>1</v>
      </c>
      <c r="AO18" s="1">
        <f t="shared" si="2"/>
        <v>4</v>
      </c>
      <c r="AP18" s="1">
        <f t="shared" si="4"/>
        <v>29</v>
      </c>
      <c r="AQ18" s="11">
        <f t="shared" si="5"/>
        <v>19333.333333333332</v>
      </c>
      <c r="AR18" s="10">
        <f t="shared" si="6"/>
        <v>1000</v>
      </c>
      <c r="AS18" s="10">
        <f t="shared" si="7"/>
        <v>1000</v>
      </c>
      <c r="AT18" s="10">
        <f t="shared" si="8"/>
        <v>21333.333333333332</v>
      </c>
      <c r="AU18" s="11">
        <f t="shared" si="9"/>
        <v>200</v>
      </c>
      <c r="AV18" s="13">
        <f t="shared" si="10"/>
        <v>21133.333333333332</v>
      </c>
      <c r="AW18" s="38"/>
      <c r="AX18" s="38"/>
    </row>
    <row r="19" spans="2:50" ht="16.5" x14ac:dyDescent="0.25">
      <c r="B19" s="1">
        <v>13</v>
      </c>
      <c r="C19" s="6" t="s">
        <v>23</v>
      </c>
      <c r="D19" s="1">
        <v>11068</v>
      </c>
      <c r="E19" s="1" t="s">
        <v>29</v>
      </c>
      <c r="F19" s="26"/>
      <c r="G19" s="1" t="s">
        <v>36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3"/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3"/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3"/>
      <c r="AB19" s="1" t="s">
        <v>36</v>
      </c>
      <c r="AC19" s="1" t="s">
        <v>36</v>
      </c>
      <c r="AD19" s="1" t="s">
        <v>36</v>
      </c>
      <c r="AE19" s="1" t="s">
        <v>36</v>
      </c>
      <c r="AF19" s="1" t="s">
        <v>36</v>
      </c>
      <c r="AG19" s="1" t="s">
        <v>36</v>
      </c>
      <c r="AH19" s="3"/>
      <c r="AI19" s="1" t="s">
        <v>36</v>
      </c>
      <c r="AJ19" s="1" t="s">
        <v>36</v>
      </c>
      <c r="AK19" s="10">
        <v>20000</v>
      </c>
      <c r="AL19" s="10">
        <f t="shared" si="3"/>
        <v>666.66666666666663</v>
      </c>
      <c r="AM19" s="1">
        <f t="shared" si="0"/>
        <v>26</v>
      </c>
      <c r="AN19" s="1">
        <f t="shared" si="1"/>
        <v>0</v>
      </c>
      <c r="AO19" s="1">
        <f t="shared" si="2"/>
        <v>4</v>
      </c>
      <c r="AP19" s="1">
        <f t="shared" si="4"/>
        <v>30</v>
      </c>
      <c r="AQ19" s="11">
        <f t="shared" si="5"/>
        <v>20000</v>
      </c>
      <c r="AR19" s="10">
        <f t="shared" si="6"/>
        <v>1000</v>
      </c>
      <c r="AS19" s="10">
        <f t="shared" si="7"/>
        <v>1000</v>
      </c>
      <c r="AT19" s="10">
        <f t="shared" si="8"/>
        <v>22000</v>
      </c>
      <c r="AU19" s="11">
        <f t="shared" si="9"/>
        <v>200</v>
      </c>
      <c r="AV19" s="13">
        <f t="shared" si="10"/>
        <v>21800</v>
      </c>
      <c r="AW19" s="38"/>
      <c r="AX19" s="38"/>
    </row>
    <row r="20" spans="2:50" ht="16.5" x14ac:dyDescent="0.25">
      <c r="B20" s="1">
        <v>14</v>
      </c>
      <c r="C20" s="6" t="s">
        <v>19</v>
      </c>
      <c r="D20" s="1">
        <v>11069</v>
      </c>
      <c r="E20" s="1" t="s">
        <v>29</v>
      </c>
      <c r="F20" s="26"/>
      <c r="G20" s="1" t="s">
        <v>36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3"/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3"/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3"/>
      <c r="AB20" s="1" t="s">
        <v>36</v>
      </c>
      <c r="AC20" s="1" t="s">
        <v>36</v>
      </c>
      <c r="AD20" s="1" t="s">
        <v>36</v>
      </c>
      <c r="AE20" s="1" t="s">
        <v>36</v>
      </c>
      <c r="AF20" s="1" t="s">
        <v>36</v>
      </c>
      <c r="AG20" s="1" t="s">
        <v>36</v>
      </c>
      <c r="AH20" s="3"/>
      <c r="AI20" s="1" t="s">
        <v>36</v>
      </c>
      <c r="AJ20" s="1" t="s">
        <v>36</v>
      </c>
      <c r="AK20" s="10">
        <v>20000</v>
      </c>
      <c r="AL20" s="10">
        <f t="shared" si="3"/>
        <v>666.66666666666663</v>
      </c>
      <c r="AM20" s="1">
        <f t="shared" si="0"/>
        <v>26</v>
      </c>
      <c r="AN20" s="1">
        <f t="shared" si="1"/>
        <v>0</v>
      </c>
      <c r="AO20" s="1">
        <f t="shared" si="2"/>
        <v>4</v>
      </c>
      <c r="AP20" s="1">
        <f t="shared" si="4"/>
        <v>30</v>
      </c>
      <c r="AQ20" s="11">
        <f t="shared" si="5"/>
        <v>20000</v>
      </c>
      <c r="AR20" s="10">
        <f t="shared" si="6"/>
        <v>1000</v>
      </c>
      <c r="AS20" s="10">
        <f t="shared" si="7"/>
        <v>1000</v>
      </c>
      <c r="AT20" s="10">
        <f t="shared" si="8"/>
        <v>22000</v>
      </c>
      <c r="AU20" s="11">
        <f t="shared" si="9"/>
        <v>200</v>
      </c>
      <c r="AV20" s="13">
        <f t="shared" si="10"/>
        <v>21800</v>
      </c>
      <c r="AW20" s="38"/>
      <c r="AX20" s="38"/>
    </row>
    <row r="21" spans="2:50" ht="16.5" x14ac:dyDescent="0.25">
      <c r="B21" s="1">
        <v>15</v>
      </c>
      <c r="C21" s="6" t="s">
        <v>23</v>
      </c>
      <c r="D21" s="1">
        <v>11070</v>
      </c>
      <c r="E21" s="1" t="s">
        <v>30</v>
      </c>
      <c r="F21" s="26"/>
      <c r="G21" s="1" t="s">
        <v>36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3"/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3"/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3"/>
      <c r="AB21" s="1" t="s">
        <v>36</v>
      </c>
      <c r="AC21" s="1" t="s">
        <v>36</v>
      </c>
      <c r="AD21" s="1" t="s">
        <v>36</v>
      </c>
      <c r="AE21" s="1" t="s">
        <v>36</v>
      </c>
      <c r="AF21" s="1" t="s">
        <v>36</v>
      </c>
      <c r="AG21" s="1" t="s">
        <v>36</v>
      </c>
      <c r="AH21" s="3"/>
      <c r="AI21" s="1" t="s">
        <v>36</v>
      </c>
      <c r="AJ21" s="1" t="s">
        <v>36</v>
      </c>
      <c r="AK21" s="10">
        <v>18000</v>
      </c>
      <c r="AL21" s="10">
        <f t="shared" si="3"/>
        <v>600</v>
      </c>
      <c r="AM21" s="1">
        <f t="shared" si="0"/>
        <v>26</v>
      </c>
      <c r="AN21" s="1">
        <f t="shared" si="1"/>
        <v>0</v>
      </c>
      <c r="AO21" s="1">
        <f t="shared" si="2"/>
        <v>4</v>
      </c>
      <c r="AP21" s="1">
        <f t="shared" si="4"/>
        <v>30</v>
      </c>
      <c r="AQ21" s="11">
        <f t="shared" si="5"/>
        <v>18000</v>
      </c>
      <c r="AR21" s="10">
        <f t="shared" si="6"/>
        <v>900</v>
      </c>
      <c r="AS21" s="10">
        <f t="shared" si="7"/>
        <v>900</v>
      </c>
      <c r="AT21" s="10">
        <f t="shared" si="8"/>
        <v>19800</v>
      </c>
      <c r="AU21" s="11">
        <f t="shared" si="9"/>
        <v>180</v>
      </c>
      <c r="AV21" s="13">
        <f t="shared" si="10"/>
        <v>19620</v>
      </c>
      <c r="AW21" s="38"/>
      <c r="AX21" s="38"/>
    </row>
    <row r="22" spans="2:50" ht="16.5" x14ac:dyDescent="0.25">
      <c r="B22" s="1">
        <v>16</v>
      </c>
      <c r="C22" s="6" t="s">
        <v>20</v>
      </c>
      <c r="D22" s="1">
        <v>11071</v>
      </c>
      <c r="E22" s="1" t="s">
        <v>30</v>
      </c>
      <c r="F22" s="26"/>
      <c r="G22" s="1" t="s">
        <v>36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3"/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3"/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3"/>
      <c r="AB22" s="1" t="s">
        <v>36</v>
      </c>
      <c r="AC22" s="1" t="s">
        <v>36</v>
      </c>
      <c r="AD22" s="1" t="s">
        <v>36</v>
      </c>
      <c r="AE22" s="1" t="s">
        <v>36</v>
      </c>
      <c r="AF22" s="1" t="s">
        <v>36</v>
      </c>
      <c r="AG22" s="1" t="s">
        <v>36</v>
      </c>
      <c r="AH22" s="3"/>
      <c r="AI22" s="1" t="s">
        <v>36</v>
      </c>
      <c r="AJ22" s="1" t="s">
        <v>36</v>
      </c>
      <c r="AK22" s="10">
        <v>18000</v>
      </c>
      <c r="AL22" s="10">
        <f t="shared" si="3"/>
        <v>600</v>
      </c>
      <c r="AM22" s="1">
        <f t="shared" si="0"/>
        <v>26</v>
      </c>
      <c r="AN22" s="1">
        <f t="shared" si="1"/>
        <v>0</v>
      </c>
      <c r="AO22" s="1">
        <f t="shared" si="2"/>
        <v>4</v>
      </c>
      <c r="AP22" s="1">
        <f t="shared" si="4"/>
        <v>30</v>
      </c>
      <c r="AQ22" s="11">
        <f t="shared" si="5"/>
        <v>18000</v>
      </c>
      <c r="AR22" s="10">
        <f t="shared" si="6"/>
        <v>900</v>
      </c>
      <c r="AS22" s="10">
        <f t="shared" si="7"/>
        <v>900</v>
      </c>
      <c r="AT22" s="10">
        <f t="shared" si="8"/>
        <v>19800</v>
      </c>
      <c r="AU22" s="11">
        <f t="shared" si="9"/>
        <v>180</v>
      </c>
      <c r="AV22" s="13">
        <f t="shared" si="10"/>
        <v>19620</v>
      </c>
      <c r="AW22" s="38"/>
      <c r="AX22" s="38"/>
    </row>
    <row r="23" spans="2:50" ht="16.5" x14ac:dyDescent="0.25">
      <c r="B23" s="1">
        <v>17</v>
      </c>
      <c r="C23" s="6" t="s">
        <v>17</v>
      </c>
      <c r="D23" s="1">
        <v>11072</v>
      </c>
      <c r="E23" s="1" t="s">
        <v>30</v>
      </c>
      <c r="F23" s="26"/>
      <c r="G23" s="1" t="s">
        <v>36</v>
      </c>
      <c r="H23" s="1" t="s">
        <v>36</v>
      </c>
      <c r="I23" s="1" t="s">
        <v>37</v>
      </c>
      <c r="J23" s="1" t="s">
        <v>36</v>
      </c>
      <c r="K23" s="1" t="s">
        <v>36</v>
      </c>
      <c r="L23" s="1" t="s">
        <v>36</v>
      </c>
      <c r="M23" s="3"/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3"/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3"/>
      <c r="AB23" s="1" t="s">
        <v>36</v>
      </c>
      <c r="AC23" s="1" t="s">
        <v>36</v>
      </c>
      <c r="AD23" s="1" t="s">
        <v>36</v>
      </c>
      <c r="AE23" s="1" t="s">
        <v>37</v>
      </c>
      <c r="AF23" s="1" t="s">
        <v>36</v>
      </c>
      <c r="AG23" s="1" t="s">
        <v>36</v>
      </c>
      <c r="AH23" s="3"/>
      <c r="AI23" s="1" t="s">
        <v>36</v>
      </c>
      <c r="AJ23" s="1" t="s">
        <v>36</v>
      </c>
      <c r="AK23" s="10">
        <v>18000</v>
      </c>
      <c r="AL23" s="10">
        <f t="shared" si="3"/>
        <v>600</v>
      </c>
      <c r="AM23" s="1">
        <f t="shared" si="0"/>
        <v>24</v>
      </c>
      <c r="AN23" s="1">
        <f t="shared" si="1"/>
        <v>2</v>
      </c>
      <c r="AO23" s="1">
        <f t="shared" si="2"/>
        <v>4</v>
      </c>
      <c r="AP23" s="1">
        <f t="shared" si="4"/>
        <v>28</v>
      </c>
      <c r="AQ23" s="11">
        <f t="shared" si="5"/>
        <v>16800</v>
      </c>
      <c r="AR23" s="10">
        <f t="shared" si="6"/>
        <v>900</v>
      </c>
      <c r="AS23" s="10">
        <f t="shared" si="7"/>
        <v>900</v>
      </c>
      <c r="AT23" s="10">
        <f t="shared" si="8"/>
        <v>18600</v>
      </c>
      <c r="AU23" s="11">
        <f t="shared" si="9"/>
        <v>180</v>
      </c>
      <c r="AV23" s="13">
        <f t="shared" si="10"/>
        <v>18420</v>
      </c>
      <c r="AW23" s="38"/>
      <c r="AX23" s="38"/>
    </row>
    <row r="24" spans="2:50" ht="16.5" x14ac:dyDescent="0.25">
      <c r="B24" s="1">
        <v>18</v>
      </c>
      <c r="C24" s="6" t="s">
        <v>17</v>
      </c>
      <c r="D24" s="1">
        <v>11073</v>
      </c>
      <c r="E24" s="1" t="s">
        <v>30</v>
      </c>
      <c r="F24" s="26"/>
      <c r="G24" s="1" t="s">
        <v>36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3"/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3"/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3"/>
      <c r="AB24" s="1" t="s">
        <v>36</v>
      </c>
      <c r="AC24" s="1" t="s">
        <v>36</v>
      </c>
      <c r="AD24" s="1" t="s">
        <v>36</v>
      </c>
      <c r="AE24" s="1" t="s">
        <v>36</v>
      </c>
      <c r="AF24" s="1" t="s">
        <v>36</v>
      </c>
      <c r="AG24" s="1" t="s">
        <v>36</v>
      </c>
      <c r="AH24" s="3"/>
      <c r="AI24" s="1" t="s">
        <v>36</v>
      </c>
      <c r="AJ24" s="1" t="s">
        <v>36</v>
      </c>
      <c r="AK24" s="10">
        <v>18000</v>
      </c>
      <c r="AL24" s="10">
        <f t="shared" si="3"/>
        <v>600</v>
      </c>
      <c r="AM24" s="1">
        <f t="shared" si="0"/>
        <v>26</v>
      </c>
      <c r="AN24" s="1">
        <f t="shared" si="1"/>
        <v>0</v>
      </c>
      <c r="AO24" s="1">
        <f t="shared" si="2"/>
        <v>4</v>
      </c>
      <c r="AP24" s="1">
        <f t="shared" si="4"/>
        <v>30</v>
      </c>
      <c r="AQ24" s="11">
        <f t="shared" si="5"/>
        <v>18000</v>
      </c>
      <c r="AR24" s="10">
        <f t="shared" si="6"/>
        <v>900</v>
      </c>
      <c r="AS24" s="10">
        <f t="shared" si="7"/>
        <v>900</v>
      </c>
      <c r="AT24" s="10">
        <f t="shared" si="8"/>
        <v>19800</v>
      </c>
      <c r="AU24" s="11">
        <f t="shared" si="9"/>
        <v>180</v>
      </c>
      <c r="AV24" s="13">
        <f t="shared" si="10"/>
        <v>19620</v>
      </c>
      <c r="AW24" s="38"/>
      <c r="AX24" s="38"/>
    </row>
    <row r="25" spans="2:50" ht="16.5" x14ac:dyDescent="0.25">
      <c r="B25" s="1">
        <v>19</v>
      </c>
      <c r="C25" s="6" t="s">
        <v>22</v>
      </c>
      <c r="D25" s="1">
        <v>11074</v>
      </c>
      <c r="E25" s="1" t="s">
        <v>30</v>
      </c>
      <c r="F25" s="26"/>
      <c r="G25" s="1" t="s">
        <v>36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3"/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3"/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3"/>
      <c r="AB25" s="1" t="s">
        <v>36</v>
      </c>
      <c r="AC25" s="1" t="s">
        <v>36</v>
      </c>
      <c r="AD25" s="1" t="s">
        <v>36</v>
      </c>
      <c r="AE25" s="1" t="s">
        <v>36</v>
      </c>
      <c r="AF25" s="1" t="s">
        <v>36</v>
      </c>
      <c r="AG25" s="1" t="s">
        <v>36</v>
      </c>
      <c r="AH25" s="3"/>
      <c r="AI25" s="1" t="s">
        <v>36</v>
      </c>
      <c r="AJ25" s="1" t="s">
        <v>36</v>
      </c>
      <c r="AK25" s="10">
        <v>18000</v>
      </c>
      <c r="AL25" s="10">
        <f t="shared" si="3"/>
        <v>600</v>
      </c>
      <c r="AM25" s="1">
        <f t="shared" si="0"/>
        <v>26</v>
      </c>
      <c r="AN25" s="1">
        <f t="shared" si="1"/>
        <v>0</v>
      </c>
      <c r="AO25" s="1">
        <f t="shared" si="2"/>
        <v>4</v>
      </c>
      <c r="AP25" s="1">
        <f t="shared" si="4"/>
        <v>30</v>
      </c>
      <c r="AQ25" s="11">
        <f t="shared" si="5"/>
        <v>18000</v>
      </c>
      <c r="AR25" s="10">
        <f t="shared" si="6"/>
        <v>900</v>
      </c>
      <c r="AS25" s="10">
        <f t="shared" si="7"/>
        <v>900</v>
      </c>
      <c r="AT25" s="10">
        <f t="shared" si="8"/>
        <v>19800</v>
      </c>
      <c r="AU25" s="11">
        <f t="shared" si="9"/>
        <v>180</v>
      </c>
      <c r="AV25" s="13">
        <f t="shared" si="10"/>
        <v>19620</v>
      </c>
      <c r="AW25" s="38"/>
      <c r="AX25" s="38"/>
    </row>
    <row r="26" spans="2:50" ht="16.5" x14ac:dyDescent="0.25">
      <c r="B26" s="1">
        <v>20</v>
      </c>
      <c r="C26" s="6" t="s">
        <v>23</v>
      </c>
      <c r="D26" s="1">
        <v>11075</v>
      </c>
      <c r="E26" s="1" t="s">
        <v>31</v>
      </c>
      <c r="F26" s="26"/>
      <c r="G26" s="1" t="s">
        <v>36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3"/>
      <c r="N26" s="1" t="s">
        <v>36</v>
      </c>
      <c r="O26" s="1" t="s">
        <v>36</v>
      </c>
      <c r="P26" s="1" t="s">
        <v>36</v>
      </c>
      <c r="Q26" s="1" t="s">
        <v>37</v>
      </c>
      <c r="R26" s="1" t="s">
        <v>36</v>
      </c>
      <c r="S26" s="1" t="s">
        <v>36</v>
      </c>
      <c r="T26" s="3"/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3"/>
      <c r="AB26" s="1" t="s">
        <v>36</v>
      </c>
      <c r="AC26" s="1" t="s">
        <v>36</v>
      </c>
      <c r="AD26" s="1" t="s">
        <v>36</v>
      </c>
      <c r="AE26" s="1" t="s">
        <v>36</v>
      </c>
      <c r="AF26" s="1" t="s">
        <v>36</v>
      </c>
      <c r="AG26" s="1" t="s">
        <v>36</v>
      </c>
      <c r="AH26" s="3"/>
      <c r="AI26" s="1" t="s">
        <v>36</v>
      </c>
      <c r="AJ26" s="1" t="s">
        <v>36</v>
      </c>
      <c r="AK26" s="10">
        <v>10000</v>
      </c>
      <c r="AL26" s="10">
        <f t="shared" si="3"/>
        <v>333.33333333333331</v>
      </c>
      <c r="AM26" s="1">
        <f t="shared" si="0"/>
        <v>25</v>
      </c>
      <c r="AN26" s="1">
        <f t="shared" si="1"/>
        <v>1</v>
      </c>
      <c r="AO26" s="1">
        <f t="shared" si="2"/>
        <v>4</v>
      </c>
      <c r="AP26" s="1">
        <f t="shared" si="4"/>
        <v>29</v>
      </c>
      <c r="AQ26" s="11">
        <f t="shared" si="5"/>
        <v>9666.6666666666661</v>
      </c>
      <c r="AR26" s="10">
        <f t="shared" si="6"/>
        <v>500</v>
      </c>
      <c r="AS26" s="10">
        <f t="shared" si="7"/>
        <v>500</v>
      </c>
      <c r="AT26" s="10">
        <f t="shared" si="8"/>
        <v>10666.666666666666</v>
      </c>
      <c r="AU26" s="11">
        <f t="shared" si="9"/>
        <v>100</v>
      </c>
      <c r="AV26" s="13">
        <f t="shared" si="10"/>
        <v>10566.666666666666</v>
      </c>
      <c r="AW26" s="38"/>
      <c r="AX26" s="38"/>
    </row>
    <row r="27" spans="2:50" ht="16.5" x14ac:dyDescent="0.25">
      <c r="B27" s="1">
        <v>21</v>
      </c>
      <c r="C27" s="6" t="s">
        <v>23</v>
      </c>
      <c r="D27" s="1">
        <v>11076</v>
      </c>
      <c r="E27" s="1" t="s">
        <v>31</v>
      </c>
      <c r="F27" s="26"/>
      <c r="G27" s="1" t="s">
        <v>36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3"/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3"/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3"/>
      <c r="AB27" s="1" t="s">
        <v>36</v>
      </c>
      <c r="AC27" s="1" t="s">
        <v>36</v>
      </c>
      <c r="AD27" s="1" t="s">
        <v>36</v>
      </c>
      <c r="AE27" s="1" t="s">
        <v>36</v>
      </c>
      <c r="AF27" s="1" t="s">
        <v>36</v>
      </c>
      <c r="AG27" s="1" t="s">
        <v>36</v>
      </c>
      <c r="AH27" s="3"/>
      <c r="AI27" s="1" t="s">
        <v>36</v>
      </c>
      <c r="AJ27" s="1" t="s">
        <v>36</v>
      </c>
      <c r="AK27" s="10">
        <v>10000</v>
      </c>
      <c r="AL27" s="10">
        <f t="shared" si="3"/>
        <v>333.33333333333331</v>
      </c>
      <c r="AM27" s="1">
        <f t="shared" si="0"/>
        <v>26</v>
      </c>
      <c r="AN27" s="1">
        <f t="shared" si="1"/>
        <v>0</v>
      </c>
      <c r="AO27" s="1">
        <f t="shared" si="2"/>
        <v>4</v>
      </c>
      <c r="AP27" s="1">
        <f t="shared" si="4"/>
        <v>30</v>
      </c>
      <c r="AQ27" s="11">
        <f t="shared" si="5"/>
        <v>10000</v>
      </c>
      <c r="AR27" s="10">
        <f t="shared" si="6"/>
        <v>500</v>
      </c>
      <c r="AS27" s="10">
        <f t="shared" si="7"/>
        <v>500</v>
      </c>
      <c r="AT27" s="10">
        <f t="shared" si="8"/>
        <v>11000</v>
      </c>
      <c r="AU27" s="11">
        <f t="shared" si="9"/>
        <v>100</v>
      </c>
      <c r="AV27" s="13">
        <f t="shared" si="10"/>
        <v>10900</v>
      </c>
      <c r="AW27" s="38"/>
      <c r="AX27" s="38"/>
    </row>
    <row r="28" spans="2:50" ht="16.5" x14ac:dyDescent="0.25">
      <c r="B28" s="1">
        <v>22</v>
      </c>
      <c r="C28" s="6" t="s">
        <v>17</v>
      </c>
      <c r="D28" s="1">
        <v>11077</v>
      </c>
      <c r="E28" s="1" t="s">
        <v>31</v>
      </c>
      <c r="F28" s="26"/>
      <c r="G28" s="1" t="s">
        <v>36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3"/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3"/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3"/>
      <c r="AB28" s="1" t="s">
        <v>36</v>
      </c>
      <c r="AC28" s="1" t="s">
        <v>36</v>
      </c>
      <c r="AD28" s="1" t="s">
        <v>36</v>
      </c>
      <c r="AE28" s="1" t="s">
        <v>36</v>
      </c>
      <c r="AF28" s="1" t="s">
        <v>36</v>
      </c>
      <c r="AG28" s="1" t="s">
        <v>36</v>
      </c>
      <c r="AH28" s="3"/>
      <c r="AI28" s="1" t="s">
        <v>36</v>
      </c>
      <c r="AJ28" s="1" t="s">
        <v>36</v>
      </c>
      <c r="AK28" s="10">
        <v>10000</v>
      </c>
      <c r="AL28" s="10">
        <f t="shared" si="3"/>
        <v>333.33333333333331</v>
      </c>
      <c r="AM28" s="1">
        <f t="shared" si="0"/>
        <v>26</v>
      </c>
      <c r="AN28" s="1">
        <f t="shared" si="1"/>
        <v>0</v>
      </c>
      <c r="AO28" s="1">
        <f t="shared" si="2"/>
        <v>4</v>
      </c>
      <c r="AP28" s="1">
        <f t="shared" si="4"/>
        <v>30</v>
      </c>
      <c r="AQ28" s="11">
        <f t="shared" si="5"/>
        <v>10000</v>
      </c>
      <c r="AR28" s="10">
        <f t="shared" si="6"/>
        <v>500</v>
      </c>
      <c r="AS28" s="10">
        <f t="shared" si="7"/>
        <v>500</v>
      </c>
      <c r="AT28" s="10">
        <f t="shared" si="8"/>
        <v>11000</v>
      </c>
      <c r="AU28" s="11">
        <f t="shared" si="9"/>
        <v>100</v>
      </c>
      <c r="AV28" s="13">
        <f t="shared" si="10"/>
        <v>10900</v>
      </c>
      <c r="AW28" s="38"/>
      <c r="AX28" s="38"/>
    </row>
    <row r="29" spans="2:50" ht="16.5" x14ac:dyDescent="0.25">
      <c r="B29" s="1">
        <v>23</v>
      </c>
      <c r="C29" s="6" t="s">
        <v>33</v>
      </c>
      <c r="D29" s="1">
        <v>11078</v>
      </c>
      <c r="E29" s="1" t="s">
        <v>34</v>
      </c>
      <c r="F29" s="26"/>
      <c r="G29" s="1" t="s">
        <v>36</v>
      </c>
      <c r="H29" s="1" t="s">
        <v>36</v>
      </c>
      <c r="I29" s="1" t="s">
        <v>37</v>
      </c>
      <c r="J29" s="1" t="s">
        <v>36</v>
      </c>
      <c r="K29" s="1" t="s">
        <v>36</v>
      </c>
      <c r="L29" s="1" t="s">
        <v>36</v>
      </c>
      <c r="M29" s="3"/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3"/>
      <c r="U29" s="1" t="s">
        <v>36</v>
      </c>
      <c r="V29" s="1" t="s">
        <v>36</v>
      </c>
      <c r="W29" s="1" t="s">
        <v>37</v>
      </c>
      <c r="X29" s="1" t="s">
        <v>36</v>
      </c>
      <c r="Y29" s="1" t="s">
        <v>36</v>
      </c>
      <c r="Z29" s="1" t="s">
        <v>36</v>
      </c>
      <c r="AA29" s="3"/>
      <c r="AB29" s="1" t="s">
        <v>36</v>
      </c>
      <c r="AC29" s="1" t="s">
        <v>36</v>
      </c>
      <c r="AD29" s="1" t="s">
        <v>36</v>
      </c>
      <c r="AE29" s="1" t="s">
        <v>37</v>
      </c>
      <c r="AF29" s="1" t="s">
        <v>36</v>
      </c>
      <c r="AG29" s="1" t="s">
        <v>36</v>
      </c>
      <c r="AH29" s="3"/>
      <c r="AI29" s="1" t="s">
        <v>36</v>
      </c>
      <c r="AJ29" s="1" t="s">
        <v>36</v>
      </c>
      <c r="AK29" s="10">
        <v>12000</v>
      </c>
      <c r="AL29" s="10">
        <f t="shared" si="3"/>
        <v>400</v>
      </c>
      <c r="AM29" s="1">
        <f t="shared" si="0"/>
        <v>23</v>
      </c>
      <c r="AN29" s="1">
        <f t="shared" si="1"/>
        <v>3</v>
      </c>
      <c r="AO29" s="1">
        <f t="shared" si="2"/>
        <v>4</v>
      </c>
      <c r="AP29" s="1">
        <f t="shared" si="4"/>
        <v>27</v>
      </c>
      <c r="AQ29" s="11">
        <f t="shared" si="5"/>
        <v>10800</v>
      </c>
      <c r="AR29" s="10">
        <f t="shared" si="6"/>
        <v>600</v>
      </c>
      <c r="AS29" s="10">
        <f t="shared" si="7"/>
        <v>600</v>
      </c>
      <c r="AT29" s="10">
        <f t="shared" si="8"/>
        <v>12000</v>
      </c>
      <c r="AU29" s="11">
        <f t="shared" si="9"/>
        <v>120</v>
      </c>
      <c r="AV29" s="13">
        <f t="shared" si="10"/>
        <v>11880</v>
      </c>
      <c r="AW29" s="38"/>
      <c r="AX29" s="38"/>
    </row>
    <row r="30" spans="2:50" ht="16.5" x14ac:dyDescent="0.25">
      <c r="B30" s="1">
        <v>24</v>
      </c>
      <c r="C30" s="6" t="s">
        <v>23</v>
      </c>
      <c r="D30" s="1">
        <v>11079</v>
      </c>
      <c r="E30" s="1" t="s">
        <v>32</v>
      </c>
      <c r="F30" s="26"/>
      <c r="G30" s="1" t="s">
        <v>36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3"/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3"/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3"/>
      <c r="AB30" s="1" t="s">
        <v>36</v>
      </c>
      <c r="AC30" s="1" t="s">
        <v>36</v>
      </c>
      <c r="AD30" s="1" t="s">
        <v>36</v>
      </c>
      <c r="AE30" s="1" t="s">
        <v>36</v>
      </c>
      <c r="AF30" s="1" t="s">
        <v>36</v>
      </c>
      <c r="AG30" s="1" t="s">
        <v>36</v>
      </c>
      <c r="AH30" s="3"/>
      <c r="AI30" s="1" t="s">
        <v>36</v>
      </c>
      <c r="AJ30" s="1" t="s">
        <v>36</v>
      </c>
      <c r="AK30" s="10">
        <v>8500</v>
      </c>
      <c r="AL30" s="10">
        <f t="shared" si="3"/>
        <v>283.33333333333331</v>
      </c>
      <c r="AM30" s="1">
        <f t="shared" si="0"/>
        <v>26</v>
      </c>
      <c r="AN30" s="1">
        <f t="shared" si="1"/>
        <v>0</v>
      </c>
      <c r="AO30" s="1">
        <f t="shared" si="2"/>
        <v>4</v>
      </c>
      <c r="AP30" s="1">
        <f t="shared" si="4"/>
        <v>30</v>
      </c>
      <c r="AQ30" s="11">
        <f t="shared" si="5"/>
        <v>8500</v>
      </c>
      <c r="AR30" s="10">
        <f t="shared" si="6"/>
        <v>425</v>
      </c>
      <c r="AS30" s="10">
        <f t="shared" si="7"/>
        <v>425</v>
      </c>
      <c r="AT30" s="10">
        <f t="shared" si="8"/>
        <v>9350</v>
      </c>
      <c r="AU30" s="11">
        <f t="shared" si="9"/>
        <v>85</v>
      </c>
      <c r="AV30" s="13">
        <f t="shared" si="10"/>
        <v>9265</v>
      </c>
      <c r="AW30" s="38"/>
      <c r="AX30" s="38"/>
    </row>
    <row r="31" spans="2:50" ht="16.5" x14ac:dyDescent="0.25">
      <c r="B31" s="1">
        <v>25</v>
      </c>
      <c r="C31" s="6" t="s">
        <v>24</v>
      </c>
      <c r="D31" s="1">
        <v>11080</v>
      </c>
      <c r="E31" s="1" t="s">
        <v>32</v>
      </c>
      <c r="F31" s="26"/>
      <c r="G31" s="1" t="s">
        <v>36</v>
      </c>
      <c r="H31" s="1" t="s">
        <v>37</v>
      </c>
      <c r="I31" s="1" t="s">
        <v>36</v>
      </c>
      <c r="J31" s="1" t="s">
        <v>36</v>
      </c>
      <c r="K31" s="1" t="s">
        <v>36</v>
      </c>
      <c r="L31" s="1" t="s">
        <v>36</v>
      </c>
      <c r="M31" s="3"/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3"/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3"/>
      <c r="AB31" s="1" t="s">
        <v>36</v>
      </c>
      <c r="AC31" s="1" t="s">
        <v>37</v>
      </c>
      <c r="AD31" s="1" t="s">
        <v>36</v>
      </c>
      <c r="AE31" s="1" t="s">
        <v>36</v>
      </c>
      <c r="AF31" s="1" t="s">
        <v>36</v>
      </c>
      <c r="AG31" s="1" t="s">
        <v>36</v>
      </c>
      <c r="AH31" s="3"/>
      <c r="AI31" s="1" t="s">
        <v>36</v>
      </c>
      <c r="AJ31" s="1" t="s">
        <v>36</v>
      </c>
      <c r="AK31" s="10">
        <v>8500</v>
      </c>
      <c r="AL31" s="10">
        <f t="shared" si="3"/>
        <v>283.33333333333331</v>
      </c>
      <c r="AM31" s="1">
        <f t="shared" si="0"/>
        <v>24</v>
      </c>
      <c r="AN31" s="1">
        <f t="shared" si="1"/>
        <v>2</v>
      </c>
      <c r="AO31" s="1">
        <f t="shared" si="2"/>
        <v>4</v>
      </c>
      <c r="AP31" s="1">
        <f t="shared" si="4"/>
        <v>28</v>
      </c>
      <c r="AQ31" s="11">
        <f t="shared" si="5"/>
        <v>7933.333333333333</v>
      </c>
      <c r="AR31" s="10">
        <f t="shared" si="6"/>
        <v>425</v>
      </c>
      <c r="AS31" s="10">
        <f t="shared" si="7"/>
        <v>425</v>
      </c>
      <c r="AT31" s="10">
        <f t="shared" si="8"/>
        <v>8783.3333333333321</v>
      </c>
      <c r="AU31" s="11">
        <f t="shared" si="9"/>
        <v>85</v>
      </c>
      <c r="AV31" s="13">
        <f t="shared" si="10"/>
        <v>8698.3333333333321</v>
      </c>
      <c r="AW31" s="38"/>
      <c r="AX31" s="38"/>
    </row>
    <row r="32" spans="2:50" ht="21" x14ac:dyDescent="0.35">
      <c r="AK32" s="39" t="s">
        <v>51</v>
      </c>
      <c r="AL32" s="39"/>
      <c r="AM32" s="39"/>
      <c r="AN32" s="39"/>
      <c r="AO32" s="39"/>
      <c r="AP32" s="39"/>
      <c r="AQ32" s="11">
        <f>SUM(AQ7:AQ31)</f>
        <v>612199.99999999988</v>
      </c>
      <c r="AR32" s="11">
        <f t="shared" ref="AR32:AV32" si="11">SUM(AR7:AR31)</f>
        <v>31950</v>
      </c>
      <c r="AS32" s="11">
        <f t="shared" si="11"/>
        <v>31950</v>
      </c>
      <c r="AT32" s="11">
        <f t="shared" si="11"/>
        <v>676099.99999999988</v>
      </c>
      <c r="AU32" s="11">
        <f t="shared" si="11"/>
        <v>6390</v>
      </c>
      <c r="AV32" s="14">
        <f t="shared" si="11"/>
        <v>669709.99999999988</v>
      </c>
    </row>
  </sheetData>
  <mergeCells count="48">
    <mergeCell ref="AK32:AP32"/>
    <mergeCell ref="B2:AX2"/>
    <mergeCell ref="AW27:AX27"/>
    <mergeCell ref="AW28:AX28"/>
    <mergeCell ref="AW29:AX29"/>
    <mergeCell ref="AW30:AX30"/>
    <mergeCell ref="AW31:AX31"/>
    <mergeCell ref="AW22:AX22"/>
    <mergeCell ref="AW23:AX23"/>
    <mergeCell ref="AW24:AX24"/>
    <mergeCell ref="AW25:AX25"/>
    <mergeCell ref="AW26:AX26"/>
    <mergeCell ref="AW17:AX17"/>
    <mergeCell ref="AW18:AX18"/>
    <mergeCell ref="AW19:AX19"/>
    <mergeCell ref="AW20:AX20"/>
    <mergeCell ref="AW21:AX21"/>
    <mergeCell ref="AW12:AX12"/>
    <mergeCell ref="AW13:AX13"/>
    <mergeCell ref="AW14:AX14"/>
    <mergeCell ref="AW15:AX15"/>
    <mergeCell ref="AW16:AX16"/>
    <mergeCell ref="AW7:AX7"/>
    <mergeCell ref="AW8:AX8"/>
    <mergeCell ref="AW9:AX9"/>
    <mergeCell ref="AW10:AX10"/>
    <mergeCell ref="AW11:AX11"/>
    <mergeCell ref="AP5:AP6"/>
    <mergeCell ref="AY5:AY6"/>
    <mergeCell ref="AZ5:AZ6"/>
    <mergeCell ref="BA5:BA6"/>
    <mergeCell ref="AR5:AR6"/>
    <mergeCell ref="AS5:AS6"/>
    <mergeCell ref="AQ5:AQ6"/>
    <mergeCell ref="AU5:AU6"/>
    <mergeCell ref="AV5:AV6"/>
    <mergeCell ref="AT5:AT6"/>
    <mergeCell ref="AW5:AX6"/>
    <mergeCell ref="AK5:AK6"/>
    <mergeCell ref="AM5:AM6"/>
    <mergeCell ref="AN5:AN6"/>
    <mergeCell ref="AO5:AO6"/>
    <mergeCell ref="AL5:AL6"/>
    <mergeCell ref="B5:B6"/>
    <mergeCell ref="C5:C6"/>
    <mergeCell ref="D5:D6"/>
    <mergeCell ref="E5:E6"/>
    <mergeCell ref="F7:F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15"/>
  <sheetViews>
    <sheetView tabSelected="1" workbookViewId="0">
      <pane xSplit="5" ySplit="4" topLeftCell="F11" activePane="bottomRight" state="frozen"/>
      <selection pane="topRight" activeCell="F1" sqref="F1"/>
      <selection pane="bottomLeft" activeCell="A5" sqref="A5"/>
      <selection pane="bottomRight" activeCell="K22" sqref="K21:K22"/>
    </sheetView>
  </sheetViews>
  <sheetFormatPr defaultRowHeight="15" x14ac:dyDescent="0.25"/>
  <cols>
    <col min="2" max="2" width="6.42578125" bestFit="1" customWidth="1"/>
    <col min="3" max="3" width="18.140625" bestFit="1" customWidth="1"/>
    <col min="4" max="4" width="7.28515625" bestFit="1" customWidth="1"/>
    <col min="5" max="5" width="26" customWidth="1"/>
    <col min="6" max="6" width="5.140625" customWidth="1"/>
    <col min="37" max="37" width="7.28515625" customWidth="1"/>
    <col min="38" max="38" width="8.140625" customWidth="1"/>
    <col min="41" max="42" width="8.7109375" customWidth="1"/>
    <col min="43" max="43" width="10.140625" bestFit="1" customWidth="1"/>
    <col min="48" max="48" width="11.28515625" bestFit="1" customWidth="1"/>
  </cols>
  <sheetData>
    <row r="1" spans="2:50" ht="14.45" x14ac:dyDescent="0.3">
      <c r="B1" s="43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2:50" ht="14.45" x14ac:dyDescent="0.3">
      <c r="B2" t="s">
        <v>1</v>
      </c>
      <c r="C2" t="s">
        <v>2</v>
      </c>
    </row>
    <row r="3" spans="2:50" ht="14.45" customHeight="1" x14ac:dyDescent="0.25">
      <c r="B3" s="24" t="s">
        <v>3</v>
      </c>
      <c r="C3" s="24" t="s">
        <v>4</v>
      </c>
      <c r="D3" s="24" t="s">
        <v>6</v>
      </c>
      <c r="E3" s="49" t="s">
        <v>5</v>
      </c>
      <c r="F3" s="2" t="s">
        <v>7</v>
      </c>
      <c r="G3" s="2">
        <v>1</v>
      </c>
      <c r="H3" s="2">
        <v>2</v>
      </c>
      <c r="I3" s="2">
        <v>3</v>
      </c>
      <c r="J3" s="2">
        <v>4</v>
      </c>
      <c r="K3" s="2">
        <v>5</v>
      </c>
      <c r="L3" s="8">
        <v>6</v>
      </c>
      <c r="M3" s="2">
        <v>7</v>
      </c>
      <c r="N3" s="2">
        <v>8</v>
      </c>
      <c r="O3" s="2">
        <v>9</v>
      </c>
      <c r="P3" s="2">
        <v>10</v>
      </c>
      <c r="Q3" s="2">
        <v>11</v>
      </c>
      <c r="R3" s="22">
        <v>12</v>
      </c>
      <c r="S3" s="8">
        <v>13</v>
      </c>
      <c r="T3" s="2">
        <v>14</v>
      </c>
      <c r="U3" s="2">
        <v>15</v>
      </c>
      <c r="V3" s="2">
        <v>16</v>
      </c>
      <c r="W3" s="2">
        <v>17</v>
      </c>
      <c r="X3" s="2">
        <v>18</v>
      </c>
      <c r="Y3" s="2">
        <v>19</v>
      </c>
      <c r="Z3" s="8">
        <v>20</v>
      </c>
      <c r="AA3" s="2">
        <v>21</v>
      </c>
      <c r="AB3" s="2">
        <v>22</v>
      </c>
      <c r="AC3" s="2">
        <v>23</v>
      </c>
      <c r="AD3" s="2">
        <v>24</v>
      </c>
      <c r="AE3" s="2">
        <v>25</v>
      </c>
      <c r="AF3" s="2">
        <v>26</v>
      </c>
      <c r="AG3" s="8">
        <v>27</v>
      </c>
      <c r="AH3" s="2">
        <v>28</v>
      </c>
      <c r="AI3" s="2">
        <v>29</v>
      </c>
      <c r="AJ3" s="2">
        <v>30</v>
      </c>
      <c r="AK3" s="50" t="s">
        <v>59</v>
      </c>
      <c r="AL3" s="51" t="s">
        <v>60</v>
      </c>
      <c r="AM3" s="38" t="s">
        <v>61</v>
      </c>
      <c r="AN3" s="38" t="s">
        <v>62</v>
      </c>
      <c r="AO3" s="50" t="s">
        <v>63</v>
      </c>
      <c r="AP3" s="47" t="s">
        <v>64</v>
      </c>
      <c r="AQ3" s="33" t="s">
        <v>46</v>
      </c>
      <c r="AR3" s="30" t="s">
        <v>43</v>
      </c>
      <c r="AS3" s="30" t="s">
        <v>44</v>
      </c>
      <c r="AT3" s="30" t="s">
        <v>48</v>
      </c>
      <c r="AU3" s="35" t="s">
        <v>47</v>
      </c>
      <c r="AV3" s="36" t="s">
        <v>49</v>
      </c>
      <c r="AW3" s="37" t="s">
        <v>50</v>
      </c>
      <c r="AX3" s="37"/>
    </row>
    <row r="4" spans="2:50" ht="14.45" customHeight="1" x14ac:dyDescent="0.25">
      <c r="B4" s="24"/>
      <c r="C4" s="24"/>
      <c r="D4" s="24"/>
      <c r="E4" s="49"/>
      <c r="F4" s="2" t="s">
        <v>8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8" t="s">
        <v>57</v>
      </c>
      <c r="M4" s="2" t="s">
        <v>58</v>
      </c>
      <c r="N4" s="2" t="s">
        <v>52</v>
      </c>
      <c r="O4" s="2" t="s">
        <v>53</v>
      </c>
      <c r="P4" s="2" t="s">
        <v>54</v>
      </c>
      <c r="Q4" s="2" t="s">
        <v>55</v>
      </c>
      <c r="R4" s="22" t="s">
        <v>56</v>
      </c>
      <c r="S4" s="8" t="s">
        <v>57</v>
      </c>
      <c r="T4" s="2" t="s">
        <v>58</v>
      </c>
      <c r="U4" s="2" t="s">
        <v>52</v>
      </c>
      <c r="V4" s="2" t="s">
        <v>53</v>
      </c>
      <c r="W4" s="2" t="s">
        <v>54</v>
      </c>
      <c r="X4" s="2" t="s">
        <v>55</v>
      </c>
      <c r="Y4" s="2" t="s">
        <v>56</v>
      </c>
      <c r="Z4" s="8" t="s">
        <v>57</v>
      </c>
      <c r="AA4" s="2" t="s">
        <v>58</v>
      </c>
      <c r="AB4" s="2" t="s">
        <v>52</v>
      </c>
      <c r="AC4" s="2" t="s">
        <v>53</v>
      </c>
      <c r="AD4" s="2" t="s">
        <v>54</v>
      </c>
      <c r="AE4" s="2" t="s">
        <v>55</v>
      </c>
      <c r="AF4" s="2" t="s">
        <v>56</v>
      </c>
      <c r="AG4" s="8" t="s">
        <v>57</v>
      </c>
      <c r="AH4" s="2" t="s">
        <v>58</v>
      </c>
      <c r="AI4" s="2" t="s">
        <v>52</v>
      </c>
      <c r="AJ4" s="2" t="s">
        <v>53</v>
      </c>
      <c r="AK4" s="50"/>
      <c r="AL4" s="51"/>
      <c r="AM4" s="38"/>
      <c r="AN4" s="38"/>
      <c r="AO4" s="50"/>
      <c r="AP4" s="48"/>
      <c r="AQ4" s="34"/>
      <c r="AR4" s="31"/>
      <c r="AS4" s="31"/>
      <c r="AT4" s="31"/>
      <c r="AU4" s="35"/>
      <c r="AV4" s="36"/>
      <c r="AW4" s="37"/>
      <c r="AX4" s="37"/>
    </row>
    <row r="5" spans="2:50" x14ac:dyDescent="0.25">
      <c r="B5" s="1">
        <v>1</v>
      </c>
      <c r="C5" s="7" t="s">
        <v>16</v>
      </c>
      <c r="D5" s="1">
        <v>11056</v>
      </c>
      <c r="E5" s="21" t="s">
        <v>25</v>
      </c>
      <c r="F5" s="44" t="s">
        <v>2</v>
      </c>
      <c r="G5" s="1" t="s">
        <v>36</v>
      </c>
      <c r="H5" s="1" t="s">
        <v>36</v>
      </c>
      <c r="I5" s="1" t="s">
        <v>36</v>
      </c>
      <c r="J5" s="1" t="s">
        <v>37</v>
      </c>
      <c r="K5" s="1" t="s">
        <v>36</v>
      </c>
      <c r="L5" s="8"/>
      <c r="M5" s="1" t="s">
        <v>36</v>
      </c>
      <c r="N5" s="1" t="s">
        <v>36</v>
      </c>
      <c r="O5" s="1" t="s">
        <v>36</v>
      </c>
      <c r="P5" s="1" t="s">
        <v>37</v>
      </c>
      <c r="Q5" s="1" t="s">
        <v>36</v>
      </c>
      <c r="R5" s="22"/>
      <c r="S5" s="8"/>
      <c r="T5" s="1" t="s">
        <v>36</v>
      </c>
      <c r="U5" s="1" t="s">
        <v>36</v>
      </c>
      <c r="V5" s="1" t="s">
        <v>36</v>
      </c>
      <c r="W5" s="1" t="s">
        <v>37</v>
      </c>
      <c r="X5" s="1" t="s">
        <v>36</v>
      </c>
      <c r="Y5" s="1" t="s">
        <v>36</v>
      </c>
      <c r="Z5" s="8"/>
      <c r="AA5" s="1" t="s">
        <v>36</v>
      </c>
      <c r="AB5" s="1" t="s">
        <v>36</v>
      </c>
      <c r="AC5" s="1" t="s">
        <v>36</v>
      </c>
      <c r="AD5" s="1" t="s">
        <v>37</v>
      </c>
      <c r="AE5" s="1" t="s">
        <v>36</v>
      </c>
      <c r="AF5" s="1" t="s">
        <v>36</v>
      </c>
      <c r="AG5" s="8"/>
      <c r="AH5" s="1" t="s">
        <v>36</v>
      </c>
      <c r="AI5" s="1" t="s">
        <v>36</v>
      </c>
      <c r="AJ5" s="1" t="s">
        <v>36</v>
      </c>
      <c r="AK5" s="10">
        <v>80000</v>
      </c>
      <c r="AL5" s="11">
        <f>AK5/30</f>
        <v>2666.6666666666665</v>
      </c>
      <c r="AM5" s="1">
        <f>COUNTIF(G5:AJ5,"p")</f>
        <v>21</v>
      </c>
      <c r="AN5" s="1">
        <f>COUNTIF(H5:AK5,"a")</f>
        <v>4</v>
      </c>
      <c r="AO5" s="1">
        <f>COUNTIF(I5:AL5,"")</f>
        <v>5</v>
      </c>
      <c r="AP5" s="1">
        <f>AM5+AO5</f>
        <v>26</v>
      </c>
      <c r="AQ5" s="11">
        <f>AL5*AP5</f>
        <v>69333.333333333328</v>
      </c>
      <c r="AR5" s="11">
        <f>AK5*5%</f>
        <v>4000</v>
      </c>
      <c r="AS5" s="11">
        <f>AK5*4%</f>
        <v>3200</v>
      </c>
      <c r="AT5" s="11">
        <f>AQ5+AR5+AS5</f>
        <v>76533.333333333328</v>
      </c>
      <c r="AU5" s="11">
        <f>AK5*1%</f>
        <v>800</v>
      </c>
      <c r="AV5" s="11">
        <f>AT5-AU5</f>
        <v>75733.333333333328</v>
      </c>
      <c r="AW5" s="38"/>
      <c r="AX5" s="38"/>
    </row>
    <row r="6" spans="2:50" ht="16.5" x14ac:dyDescent="0.25">
      <c r="B6" s="1">
        <v>2</v>
      </c>
      <c r="C6" s="6" t="s">
        <v>17</v>
      </c>
      <c r="D6" s="1">
        <v>11057</v>
      </c>
      <c r="E6" s="21" t="s">
        <v>26</v>
      </c>
      <c r="F6" s="45"/>
      <c r="G6" s="1" t="s">
        <v>37</v>
      </c>
      <c r="H6" s="1" t="s">
        <v>36</v>
      </c>
      <c r="I6" s="1" t="s">
        <v>36</v>
      </c>
      <c r="J6" s="1" t="s">
        <v>36</v>
      </c>
      <c r="K6" s="1" t="s">
        <v>36</v>
      </c>
      <c r="L6" s="8"/>
      <c r="M6" s="1" t="s">
        <v>37</v>
      </c>
      <c r="N6" s="1" t="s">
        <v>36</v>
      </c>
      <c r="O6" s="1" t="s">
        <v>36</v>
      </c>
      <c r="P6" s="1" t="s">
        <v>36</v>
      </c>
      <c r="Q6" s="1" t="s">
        <v>36</v>
      </c>
      <c r="R6" s="22"/>
      <c r="S6" s="8"/>
      <c r="T6" s="1" t="s">
        <v>37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8"/>
      <c r="AA6" s="1" t="s">
        <v>37</v>
      </c>
      <c r="AB6" s="1" t="s">
        <v>36</v>
      </c>
      <c r="AC6" s="1" t="s">
        <v>36</v>
      </c>
      <c r="AD6" s="1" t="s">
        <v>36</v>
      </c>
      <c r="AE6" s="1" t="s">
        <v>36</v>
      </c>
      <c r="AF6" s="1" t="s">
        <v>36</v>
      </c>
      <c r="AG6" s="8"/>
      <c r="AH6" s="1" t="s">
        <v>37</v>
      </c>
      <c r="AI6" s="1" t="s">
        <v>36</v>
      </c>
      <c r="AJ6" s="1" t="s">
        <v>36</v>
      </c>
      <c r="AK6" s="10">
        <v>60000</v>
      </c>
      <c r="AL6" s="11">
        <f t="shared" ref="AL6:AL14" si="0">AK6/30</f>
        <v>2000</v>
      </c>
      <c r="AM6" s="1">
        <f t="shared" ref="AM6:AM14" si="1">COUNTIF(G6:AJ6,"p")</f>
        <v>20</v>
      </c>
      <c r="AN6" s="1">
        <f t="shared" ref="AN6:AN14" si="2">COUNTIF(H6:AK6,"a")</f>
        <v>4</v>
      </c>
      <c r="AO6" s="1">
        <f t="shared" ref="AO6:AO14" si="3">COUNTIF(I6:AL6,"")</f>
        <v>5</v>
      </c>
      <c r="AP6" s="1">
        <f t="shared" ref="AP6:AP14" si="4">AM6+AO6</f>
        <v>25</v>
      </c>
      <c r="AQ6" s="11">
        <f t="shared" ref="AQ6:AQ14" si="5">AL6*AP6</f>
        <v>50000</v>
      </c>
      <c r="AR6" s="11">
        <f t="shared" ref="AR6:AR14" si="6">AK6*5%</f>
        <v>3000</v>
      </c>
      <c r="AS6" s="11">
        <f t="shared" ref="AS6:AS14" si="7">AK6*4%</f>
        <v>2400</v>
      </c>
      <c r="AT6" s="11">
        <f t="shared" ref="AT6:AT14" si="8">AQ6+AR6+AS6</f>
        <v>55400</v>
      </c>
      <c r="AU6" s="11">
        <f t="shared" ref="AU6:AU14" si="9">AK6*1%</f>
        <v>600</v>
      </c>
      <c r="AV6" s="11">
        <f t="shared" ref="AV6:AV14" si="10">AT6-AU6</f>
        <v>54800</v>
      </c>
      <c r="AW6" s="38"/>
      <c r="AX6" s="38"/>
    </row>
    <row r="7" spans="2:50" ht="16.5" x14ac:dyDescent="0.25">
      <c r="B7" s="1">
        <v>3</v>
      </c>
      <c r="C7" s="6" t="s">
        <v>18</v>
      </c>
      <c r="D7" s="1">
        <v>11058</v>
      </c>
      <c r="E7" s="21" t="s">
        <v>27</v>
      </c>
      <c r="F7" s="45"/>
      <c r="G7" s="1" t="s">
        <v>36</v>
      </c>
      <c r="H7" s="1" t="s">
        <v>36</v>
      </c>
      <c r="I7" s="1" t="s">
        <v>37</v>
      </c>
      <c r="J7" s="1" t="s">
        <v>36</v>
      </c>
      <c r="K7" s="1" t="s">
        <v>36</v>
      </c>
      <c r="L7" s="8"/>
      <c r="M7" s="1" t="s">
        <v>36</v>
      </c>
      <c r="N7" s="1" t="s">
        <v>36</v>
      </c>
      <c r="O7" s="1" t="s">
        <v>37</v>
      </c>
      <c r="P7" s="1" t="s">
        <v>36</v>
      </c>
      <c r="Q7" s="1" t="s">
        <v>36</v>
      </c>
      <c r="R7" s="22"/>
      <c r="S7" s="8"/>
      <c r="T7" s="1" t="s">
        <v>36</v>
      </c>
      <c r="U7" s="1" t="s">
        <v>36</v>
      </c>
      <c r="V7" s="1" t="s">
        <v>37</v>
      </c>
      <c r="W7" s="1" t="s">
        <v>36</v>
      </c>
      <c r="X7" s="1" t="s">
        <v>36</v>
      </c>
      <c r="Y7" s="1" t="s">
        <v>36</v>
      </c>
      <c r="Z7" s="8"/>
      <c r="AA7" s="1" t="s">
        <v>36</v>
      </c>
      <c r="AB7" s="1" t="s">
        <v>36</v>
      </c>
      <c r="AC7" s="1" t="s">
        <v>37</v>
      </c>
      <c r="AD7" s="1" t="s">
        <v>36</v>
      </c>
      <c r="AE7" s="1" t="s">
        <v>36</v>
      </c>
      <c r="AF7" s="1" t="s">
        <v>36</v>
      </c>
      <c r="AG7" s="8"/>
      <c r="AH7" s="1" t="s">
        <v>36</v>
      </c>
      <c r="AI7" s="1" t="s">
        <v>36</v>
      </c>
      <c r="AJ7" s="1" t="s">
        <v>37</v>
      </c>
      <c r="AK7" s="10">
        <v>45000</v>
      </c>
      <c r="AL7" s="11">
        <f t="shared" si="0"/>
        <v>1500</v>
      </c>
      <c r="AM7" s="1">
        <f t="shared" si="1"/>
        <v>20</v>
      </c>
      <c r="AN7" s="1">
        <f t="shared" si="2"/>
        <v>5</v>
      </c>
      <c r="AO7" s="1">
        <f t="shared" si="3"/>
        <v>5</v>
      </c>
      <c r="AP7" s="1">
        <f t="shared" si="4"/>
        <v>25</v>
      </c>
      <c r="AQ7" s="11">
        <f t="shared" si="5"/>
        <v>37500</v>
      </c>
      <c r="AR7" s="11">
        <f t="shared" si="6"/>
        <v>2250</v>
      </c>
      <c r="AS7" s="11">
        <f t="shared" si="7"/>
        <v>1800</v>
      </c>
      <c r="AT7" s="11">
        <f t="shared" si="8"/>
        <v>41550</v>
      </c>
      <c r="AU7" s="11">
        <f t="shared" si="9"/>
        <v>450</v>
      </c>
      <c r="AV7" s="11">
        <f t="shared" si="10"/>
        <v>41100</v>
      </c>
      <c r="AW7" s="38"/>
      <c r="AX7" s="38"/>
    </row>
    <row r="8" spans="2:50" ht="16.5" x14ac:dyDescent="0.25">
      <c r="B8" s="1">
        <v>4</v>
      </c>
      <c r="C8" s="6" t="s">
        <v>19</v>
      </c>
      <c r="D8" s="1">
        <v>11059</v>
      </c>
      <c r="E8" s="21" t="s">
        <v>27</v>
      </c>
      <c r="F8" s="45"/>
      <c r="G8" s="1" t="s">
        <v>36</v>
      </c>
      <c r="H8" s="1" t="s">
        <v>36</v>
      </c>
      <c r="I8" s="1" t="s">
        <v>36</v>
      </c>
      <c r="J8" s="1" t="s">
        <v>36</v>
      </c>
      <c r="K8" s="1" t="s">
        <v>36</v>
      </c>
      <c r="L8" s="8"/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22"/>
      <c r="S8" s="8"/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8"/>
      <c r="AA8" s="1" t="s">
        <v>36</v>
      </c>
      <c r="AB8" s="1" t="s">
        <v>36</v>
      </c>
      <c r="AC8" s="1" t="s">
        <v>36</v>
      </c>
      <c r="AD8" s="1" t="s">
        <v>36</v>
      </c>
      <c r="AE8" s="1" t="s">
        <v>36</v>
      </c>
      <c r="AF8" s="1" t="s">
        <v>36</v>
      </c>
      <c r="AG8" s="8"/>
      <c r="AH8" s="1" t="s">
        <v>36</v>
      </c>
      <c r="AI8" s="1" t="s">
        <v>36</v>
      </c>
      <c r="AJ8" s="1" t="s">
        <v>36</v>
      </c>
      <c r="AK8" s="10">
        <v>45000</v>
      </c>
      <c r="AL8" s="11">
        <f t="shared" si="0"/>
        <v>1500</v>
      </c>
      <c r="AM8" s="1">
        <f t="shared" si="1"/>
        <v>25</v>
      </c>
      <c r="AN8" s="1">
        <f t="shared" si="2"/>
        <v>0</v>
      </c>
      <c r="AO8" s="1">
        <f t="shared" si="3"/>
        <v>5</v>
      </c>
      <c r="AP8" s="1">
        <f t="shared" si="4"/>
        <v>30</v>
      </c>
      <c r="AQ8" s="11">
        <f t="shared" si="5"/>
        <v>45000</v>
      </c>
      <c r="AR8" s="11">
        <f t="shared" si="6"/>
        <v>2250</v>
      </c>
      <c r="AS8" s="11">
        <f t="shared" si="7"/>
        <v>1800</v>
      </c>
      <c r="AT8" s="11">
        <f t="shared" si="8"/>
        <v>49050</v>
      </c>
      <c r="AU8" s="11">
        <f t="shared" si="9"/>
        <v>450</v>
      </c>
      <c r="AV8" s="11">
        <f t="shared" si="10"/>
        <v>48600</v>
      </c>
      <c r="AW8" s="38"/>
      <c r="AX8" s="38"/>
    </row>
    <row r="9" spans="2:50" ht="16.5" x14ac:dyDescent="0.25">
      <c r="B9" s="1">
        <v>5</v>
      </c>
      <c r="C9" s="6" t="s">
        <v>18</v>
      </c>
      <c r="D9" s="1">
        <v>11060</v>
      </c>
      <c r="E9" s="21" t="s">
        <v>28</v>
      </c>
      <c r="F9" s="45"/>
      <c r="G9" s="1" t="s">
        <v>36</v>
      </c>
      <c r="H9" s="1" t="s">
        <v>36</v>
      </c>
      <c r="I9" s="1" t="s">
        <v>36</v>
      </c>
      <c r="J9" s="1" t="s">
        <v>36</v>
      </c>
      <c r="K9" s="1" t="s">
        <v>36</v>
      </c>
      <c r="L9" s="8"/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22"/>
      <c r="S9" s="8"/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8"/>
      <c r="AA9" s="1" t="s">
        <v>36</v>
      </c>
      <c r="AB9" s="1" t="s">
        <v>36</v>
      </c>
      <c r="AC9" s="1" t="s">
        <v>36</v>
      </c>
      <c r="AD9" s="1" t="s">
        <v>36</v>
      </c>
      <c r="AE9" s="1" t="s">
        <v>36</v>
      </c>
      <c r="AF9" s="1" t="s">
        <v>36</v>
      </c>
      <c r="AG9" s="8"/>
      <c r="AH9" s="1" t="s">
        <v>36</v>
      </c>
      <c r="AI9" s="1" t="s">
        <v>36</v>
      </c>
      <c r="AJ9" s="1" t="s">
        <v>36</v>
      </c>
      <c r="AK9" s="10">
        <v>35000</v>
      </c>
      <c r="AL9" s="11">
        <f t="shared" si="0"/>
        <v>1166.6666666666667</v>
      </c>
      <c r="AM9" s="1">
        <f t="shared" si="1"/>
        <v>25</v>
      </c>
      <c r="AN9" s="1">
        <f t="shared" si="2"/>
        <v>0</v>
      </c>
      <c r="AO9" s="1">
        <f t="shared" si="3"/>
        <v>5</v>
      </c>
      <c r="AP9" s="1">
        <f t="shared" si="4"/>
        <v>30</v>
      </c>
      <c r="AQ9" s="11">
        <f t="shared" si="5"/>
        <v>35000</v>
      </c>
      <c r="AR9" s="11">
        <f t="shared" si="6"/>
        <v>1750</v>
      </c>
      <c r="AS9" s="11">
        <f t="shared" si="7"/>
        <v>1400</v>
      </c>
      <c r="AT9" s="11">
        <f t="shared" si="8"/>
        <v>38150</v>
      </c>
      <c r="AU9" s="11">
        <f t="shared" si="9"/>
        <v>350</v>
      </c>
      <c r="AV9" s="11">
        <f t="shared" si="10"/>
        <v>37800</v>
      </c>
      <c r="AW9" s="38"/>
      <c r="AX9" s="38"/>
    </row>
    <row r="10" spans="2:50" ht="16.5" x14ac:dyDescent="0.25">
      <c r="B10" s="1">
        <v>6</v>
      </c>
      <c r="C10" s="6" t="s">
        <v>20</v>
      </c>
      <c r="D10" s="1">
        <v>11061</v>
      </c>
      <c r="E10" s="21" t="s">
        <v>28</v>
      </c>
      <c r="F10" s="45"/>
      <c r="G10" s="1" t="s">
        <v>36</v>
      </c>
      <c r="H10" s="1" t="s">
        <v>36</v>
      </c>
      <c r="I10" s="1" t="s">
        <v>36</v>
      </c>
      <c r="J10" s="1" t="s">
        <v>36</v>
      </c>
      <c r="K10" s="1" t="s">
        <v>36</v>
      </c>
      <c r="L10" s="8"/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22"/>
      <c r="S10" s="8"/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8"/>
      <c r="AA10" s="1" t="s">
        <v>36</v>
      </c>
      <c r="AB10" s="1" t="s">
        <v>36</v>
      </c>
      <c r="AC10" s="1" t="s">
        <v>36</v>
      </c>
      <c r="AD10" s="1" t="s">
        <v>36</v>
      </c>
      <c r="AE10" s="1" t="s">
        <v>36</v>
      </c>
      <c r="AF10" s="1" t="s">
        <v>36</v>
      </c>
      <c r="AG10" s="8"/>
      <c r="AH10" s="1" t="s">
        <v>36</v>
      </c>
      <c r="AI10" s="1" t="s">
        <v>36</v>
      </c>
      <c r="AJ10" s="1" t="s">
        <v>36</v>
      </c>
      <c r="AK10" s="10">
        <v>35000</v>
      </c>
      <c r="AL10" s="11">
        <f t="shared" si="0"/>
        <v>1166.6666666666667</v>
      </c>
      <c r="AM10" s="1">
        <f t="shared" si="1"/>
        <v>25</v>
      </c>
      <c r="AN10" s="1">
        <f t="shared" si="2"/>
        <v>0</v>
      </c>
      <c r="AO10" s="1">
        <f t="shared" si="3"/>
        <v>5</v>
      </c>
      <c r="AP10" s="1">
        <f t="shared" si="4"/>
        <v>30</v>
      </c>
      <c r="AQ10" s="11">
        <f t="shared" si="5"/>
        <v>35000</v>
      </c>
      <c r="AR10" s="11">
        <f t="shared" si="6"/>
        <v>1750</v>
      </c>
      <c r="AS10" s="11">
        <f t="shared" si="7"/>
        <v>1400</v>
      </c>
      <c r="AT10" s="11">
        <f t="shared" si="8"/>
        <v>38150</v>
      </c>
      <c r="AU10" s="11">
        <f t="shared" si="9"/>
        <v>350</v>
      </c>
      <c r="AV10" s="11">
        <f t="shared" si="10"/>
        <v>37800</v>
      </c>
      <c r="AW10" s="38"/>
      <c r="AX10" s="38"/>
    </row>
    <row r="11" spans="2:50" ht="16.5" x14ac:dyDescent="0.25">
      <c r="B11" s="1">
        <v>7</v>
      </c>
      <c r="C11" s="6" t="s">
        <v>21</v>
      </c>
      <c r="D11" s="1">
        <v>11062</v>
      </c>
      <c r="E11" s="21" t="s">
        <v>28</v>
      </c>
      <c r="F11" s="45"/>
      <c r="G11" s="1" t="s">
        <v>36</v>
      </c>
      <c r="H11" s="1" t="s">
        <v>36</v>
      </c>
      <c r="I11" s="1" t="s">
        <v>36</v>
      </c>
      <c r="J11" s="1" t="s">
        <v>36</v>
      </c>
      <c r="K11" s="1" t="s">
        <v>36</v>
      </c>
      <c r="L11" s="8"/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22"/>
      <c r="S11" s="8"/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8"/>
      <c r="AA11" s="1" t="s">
        <v>36</v>
      </c>
      <c r="AB11" s="1" t="s">
        <v>36</v>
      </c>
      <c r="AC11" s="1" t="s">
        <v>36</v>
      </c>
      <c r="AD11" s="1" t="s">
        <v>36</v>
      </c>
      <c r="AE11" s="1" t="s">
        <v>36</v>
      </c>
      <c r="AF11" s="1" t="s">
        <v>36</v>
      </c>
      <c r="AG11" s="8"/>
      <c r="AH11" s="1" t="s">
        <v>36</v>
      </c>
      <c r="AI11" s="1" t="s">
        <v>36</v>
      </c>
      <c r="AJ11" s="1" t="s">
        <v>36</v>
      </c>
      <c r="AK11" s="10">
        <v>35000</v>
      </c>
      <c r="AL11" s="11">
        <f t="shared" si="0"/>
        <v>1166.6666666666667</v>
      </c>
      <c r="AM11" s="1">
        <f t="shared" si="1"/>
        <v>25</v>
      </c>
      <c r="AN11" s="1">
        <f t="shared" si="2"/>
        <v>0</v>
      </c>
      <c r="AO11" s="1">
        <f t="shared" si="3"/>
        <v>5</v>
      </c>
      <c r="AP11" s="1">
        <f t="shared" si="4"/>
        <v>30</v>
      </c>
      <c r="AQ11" s="11">
        <f t="shared" si="5"/>
        <v>35000</v>
      </c>
      <c r="AR11" s="11">
        <f t="shared" si="6"/>
        <v>1750</v>
      </c>
      <c r="AS11" s="11">
        <f t="shared" si="7"/>
        <v>1400</v>
      </c>
      <c r="AT11" s="11">
        <f t="shared" si="8"/>
        <v>38150</v>
      </c>
      <c r="AU11" s="11">
        <f t="shared" si="9"/>
        <v>350</v>
      </c>
      <c r="AV11" s="11">
        <f t="shared" si="10"/>
        <v>37800</v>
      </c>
      <c r="AW11" s="38"/>
      <c r="AX11" s="38"/>
    </row>
    <row r="12" spans="2:50" ht="16.5" x14ac:dyDescent="0.25">
      <c r="B12" s="1">
        <v>8</v>
      </c>
      <c r="C12" s="6" t="s">
        <v>22</v>
      </c>
      <c r="D12" s="1">
        <v>11063</v>
      </c>
      <c r="E12" s="21" t="s">
        <v>28</v>
      </c>
      <c r="F12" s="45"/>
      <c r="G12" s="1" t="s">
        <v>36</v>
      </c>
      <c r="H12" s="1" t="s">
        <v>36</v>
      </c>
      <c r="I12" s="1" t="s">
        <v>36</v>
      </c>
      <c r="J12" s="1" t="s">
        <v>37</v>
      </c>
      <c r="K12" s="1" t="s">
        <v>36</v>
      </c>
      <c r="L12" s="8"/>
      <c r="M12" s="1" t="s">
        <v>36</v>
      </c>
      <c r="N12" s="1" t="s">
        <v>36</v>
      </c>
      <c r="O12" s="1" t="s">
        <v>36</v>
      </c>
      <c r="P12" s="1" t="s">
        <v>37</v>
      </c>
      <c r="Q12" s="1" t="s">
        <v>36</v>
      </c>
      <c r="R12" s="22"/>
      <c r="S12" s="8"/>
      <c r="T12" s="1" t="s">
        <v>36</v>
      </c>
      <c r="U12" s="1" t="s">
        <v>36</v>
      </c>
      <c r="V12" s="1" t="s">
        <v>36</v>
      </c>
      <c r="W12" s="1" t="s">
        <v>37</v>
      </c>
      <c r="X12" s="1" t="s">
        <v>36</v>
      </c>
      <c r="Y12" s="1" t="s">
        <v>36</v>
      </c>
      <c r="Z12" s="8"/>
      <c r="AA12" s="1" t="s">
        <v>36</v>
      </c>
      <c r="AB12" s="1" t="s">
        <v>36</v>
      </c>
      <c r="AC12" s="1" t="s">
        <v>36</v>
      </c>
      <c r="AD12" s="1" t="s">
        <v>37</v>
      </c>
      <c r="AE12" s="1" t="s">
        <v>36</v>
      </c>
      <c r="AF12" s="1" t="s">
        <v>36</v>
      </c>
      <c r="AG12" s="8"/>
      <c r="AH12" s="1" t="s">
        <v>36</v>
      </c>
      <c r="AI12" s="1" t="s">
        <v>36</v>
      </c>
      <c r="AJ12" s="1" t="s">
        <v>36</v>
      </c>
      <c r="AK12" s="10">
        <v>35000</v>
      </c>
      <c r="AL12" s="11">
        <f t="shared" si="0"/>
        <v>1166.6666666666667</v>
      </c>
      <c r="AM12" s="1">
        <f t="shared" si="1"/>
        <v>21</v>
      </c>
      <c r="AN12" s="1">
        <f t="shared" si="2"/>
        <v>4</v>
      </c>
      <c r="AO12" s="1">
        <f t="shared" si="3"/>
        <v>5</v>
      </c>
      <c r="AP12" s="1">
        <f t="shared" si="4"/>
        <v>26</v>
      </c>
      <c r="AQ12" s="11">
        <f t="shared" si="5"/>
        <v>30333.333333333336</v>
      </c>
      <c r="AR12" s="11">
        <f t="shared" si="6"/>
        <v>1750</v>
      </c>
      <c r="AS12" s="11">
        <f t="shared" si="7"/>
        <v>1400</v>
      </c>
      <c r="AT12" s="11">
        <f t="shared" si="8"/>
        <v>33483.333333333336</v>
      </c>
      <c r="AU12" s="11">
        <f t="shared" si="9"/>
        <v>350</v>
      </c>
      <c r="AV12" s="11">
        <f t="shared" si="10"/>
        <v>33133.333333333336</v>
      </c>
      <c r="AW12" s="38"/>
      <c r="AX12" s="38"/>
    </row>
    <row r="13" spans="2:50" ht="16.5" x14ac:dyDescent="0.25">
      <c r="B13" s="1">
        <v>9</v>
      </c>
      <c r="C13" s="6" t="s">
        <v>23</v>
      </c>
      <c r="D13" s="1">
        <v>11064</v>
      </c>
      <c r="E13" s="21" t="s">
        <v>29</v>
      </c>
      <c r="F13" s="45"/>
      <c r="G13" s="1" t="s">
        <v>36</v>
      </c>
      <c r="H13" s="1" t="s">
        <v>37</v>
      </c>
      <c r="I13" s="1" t="s">
        <v>36</v>
      </c>
      <c r="J13" s="1" t="s">
        <v>36</v>
      </c>
      <c r="K13" s="1" t="s">
        <v>36</v>
      </c>
      <c r="L13" s="8"/>
      <c r="M13" s="1" t="s">
        <v>36</v>
      </c>
      <c r="N13" s="1" t="s">
        <v>37</v>
      </c>
      <c r="O13" s="1" t="s">
        <v>36</v>
      </c>
      <c r="P13" s="1" t="s">
        <v>36</v>
      </c>
      <c r="Q13" s="1" t="s">
        <v>36</v>
      </c>
      <c r="R13" s="22"/>
      <c r="S13" s="8"/>
      <c r="T13" s="1" t="s">
        <v>36</v>
      </c>
      <c r="U13" s="1" t="s">
        <v>37</v>
      </c>
      <c r="V13" s="1" t="s">
        <v>36</v>
      </c>
      <c r="W13" s="1" t="s">
        <v>36</v>
      </c>
      <c r="X13" s="1" t="s">
        <v>36</v>
      </c>
      <c r="Y13" s="1" t="s">
        <v>36</v>
      </c>
      <c r="Z13" s="8"/>
      <c r="AA13" s="1" t="s">
        <v>36</v>
      </c>
      <c r="AB13" s="1" t="s">
        <v>37</v>
      </c>
      <c r="AC13" s="1" t="s">
        <v>36</v>
      </c>
      <c r="AD13" s="1" t="s">
        <v>36</v>
      </c>
      <c r="AE13" s="1" t="s">
        <v>36</v>
      </c>
      <c r="AF13" s="1" t="s">
        <v>36</v>
      </c>
      <c r="AG13" s="8"/>
      <c r="AH13" s="1" t="s">
        <v>36</v>
      </c>
      <c r="AI13" s="1" t="s">
        <v>37</v>
      </c>
      <c r="AJ13" s="1" t="s">
        <v>36</v>
      </c>
      <c r="AK13" s="10">
        <v>20000</v>
      </c>
      <c r="AL13" s="11">
        <f t="shared" si="0"/>
        <v>666.66666666666663</v>
      </c>
      <c r="AM13" s="1">
        <f t="shared" si="1"/>
        <v>20</v>
      </c>
      <c r="AN13" s="1">
        <f t="shared" si="2"/>
        <v>5</v>
      </c>
      <c r="AO13" s="1">
        <f t="shared" si="3"/>
        <v>5</v>
      </c>
      <c r="AP13" s="1">
        <f t="shared" si="4"/>
        <v>25</v>
      </c>
      <c r="AQ13" s="11">
        <f t="shared" si="5"/>
        <v>16666.666666666664</v>
      </c>
      <c r="AR13" s="11">
        <f t="shared" si="6"/>
        <v>1000</v>
      </c>
      <c r="AS13" s="11">
        <f t="shared" si="7"/>
        <v>800</v>
      </c>
      <c r="AT13" s="11">
        <f t="shared" si="8"/>
        <v>18466.666666666664</v>
      </c>
      <c r="AU13" s="11">
        <f t="shared" si="9"/>
        <v>200</v>
      </c>
      <c r="AV13" s="11">
        <f t="shared" si="10"/>
        <v>18266.666666666664</v>
      </c>
      <c r="AW13" s="38"/>
      <c r="AX13" s="38"/>
    </row>
    <row r="14" spans="2:50" ht="16.5" x14ac:dyDescent="0.25">
      <c r="B14" s="1">
        <v>10</v>
      </c>
      <c r="C14" s="6" t="s">
        <v>23</v>
      </c>
      <c r="D14" s="1">
        <v>11065</v>
      </c>
      <c r="E14" s="21" t="s">
        <v>29</v>
      </c>
      <c r="F14" s="46"/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8"/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22"/>
      <c r="S14" s="8"/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8"/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8"/>
      <c r="AH14" s="1" t="s">
        <v>36</v>
      </c>
      <c r="AI14" s="1" t="s">
        <v>36</v>
      </c>
      <c r="AJ14" s="1" t="s">
        <v>36</v>
      </c>
      <c r="AK14" s="10">
        <v>20000</v>
      </c>
      <c r="AL14" s="11">
        <f t="shared" si="0"/>
        <v>666.66666666666663</v>
      </c>
      <c r="AM14" s="1">
        <f t="shared" si="1"/>
        <v>25</v>
      </c>
      <c r="AN14" s="1">
        <f t="shared" si="2"/>
        <v>0</v>
      </c>
      <c r="AO14" s="1">
        <f t="shared" si="3"/>
        <v>5</v>
      </c>
      <c r="AP14" s="1">
        <f t="shared" si="4"/>
        <v>30</v>
      </c>
      <c r="AQ14" s="11">
        <f t="shared" si="5"/>
        <v>20000</v>
      </c>
      <c r="AR14" s="11">
        <f t="shared" si="6"/>
        <v>1000</v>
      </c>
      <c r="AS14" s="11">
        <f t="shared" si="7"/>
        <v>800</v>
      </c>
      <c r="AT14" s="11">
        <f t="shared" si="8"/>
        <v>21800</v>
      </c>
      <c r="AU14" s="11">
        <f t="shared" si="9"/>
        <v>200</v>
      </c>
      <c r="AV14" s="11">
        <f t="shared" si="10"/>
        <v>21600</v>
      </c>
      <c r="AW14" s="38"/>
      <c r="AX14" s="38"/>
    </row>
    <row r="15" spans="2:50" ht="18" x14ac:dyDescent="0.35">
      <c r="AN15" s="52" t="s">
        <v>65</v>
      </c>
      <c r="AO15" s="52"/>
      <c r="AP15" s="52"/>
      <c r="AQ15" s="52"/>
      <c r="AR15" s="52"/>
      <c r="AS15" s="12">
        <f>SUM(AS5:AS14)</f>
        <v>16400</v>
      </c>
      <c r="AT15" s="12">
        <f t="shared" ref="AT15:AV15" si="11">SUM(AT5:AT14)</f>
        <v>410733.33333333331</v>
      </c>
      <c r="AU15" s="12">
        <f t="shared" si="11"/>
        <v>4100</v>
      </c>
      <c r="AV15" s="23">
        <f t="shared" si="11"/>
        <v>406633.33333333331</v>
      </c>
    </row>
  </sheetData>
  <mergeCells count="30">
    <mergeCell ref="AW11:AX11"/>
    <mergeCell ref="AW12:AX12"/>
    <mergeCell ref="AW13:AX13"/>
    <mergeCell ref="AW14:AX14"/>
    <mergeCell ref="AN15:AR15"/>
    <mergeCell ref="AW10:AX10"/>
    <mergeCell ref="AR3:AR4"/>
    <mergeCell ref="AS3:AS4"/>
    <mergeCell ref="AT3:AT4"/>
    <mergeCell ref="AU3:AU4"/>
    <mergeCell ref="AV3:AV4"/>
    <mergeCell ref="AW3:AX4"/>
    <mergeCell ref="AW5:AX5"/>
    <mergeCell ref="AW6:AX6"/>
    <mergeCell ref="AW7:AX7"/>
    <mergeCell ref="AW8:AX8"/>
    <mergeCell ref="AW9:AX9"/>
    <mergeCell ref="B1:Q1"/>
    <mergeCell ref="F5:F14"/>
    <mergeCell ref="AQ3:AQ4"/>
    <mergeCell ref="AP3:AP4"/>
    <mergeCell ref="B3:B4"/>
    <mergeCell ref="C3:C4"/>
    <mergeCell ref="D3:D4"/>
    <mergeCell ref="E3:E4"/>
    <mergeCell ref="AK3:AK4"/>
    <mergeCell ref="AL3:AL4"/>
    <mergeCell ref="AM3:AM4"/>
    <mergeCell ref="AN3:AN4"/>
    <mergeCell ref="AO3:A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0" sqref="C30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" sqref="C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Jan-18</vt:lpstr>
      <vt:lpstr>Feb-18</vt:lpstr>
      <vt:lpstr>Sheet2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Hasif Shek</cp:lastModifiedBy>
  <dcterms:created xsi:type="dcterms:W3CDTF">2018-08-01T14:38:11Z</dcterms:created>
  <dcterms:modified xsi:type="dcterms:W3CDTF">2025-09-21T15:11:55Z</dcterms:modified>
</cp:coreProperties>
</file>